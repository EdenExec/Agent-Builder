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Invoice Ledger" sheetId="2" state="visible" r:id="rId2"/>
    <sheet xmlns:r="http://schemas.openxmlformats.org/officeDocument/2006/relationships" name="Revenue YTD" sheetId="3" state="visible" r:id="rId3"/>
    <sheet xmlns:r="http://schemas.openxmlformats.org/officeDocument/2006/relationships" name="QBO Tie-out" sheetId="4" state="visible" r:id="rId4"/>
    <sheet xmlns:r="http://schemas.openxmlformats.org/officeDocument/2006/relationships" name="BvA Sep" sheetId="5" state="visible" r:id="rId5"/>
    <sheet xmlns:r="http://schemas.openxmlformats.org/officeDocument/2006/relationships" name="Ques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164" fontId="0" fillId="0" borderId="0" pivotButton="0" quotePrefix="0" xfId="0"/>
    <xf numFmtId="3" fontId="0" fillId="0" borderId="0" pivotButton="0" quotePrefix="0" xfId="0"/>
    <xf numFmtId="0" fontId="0" fillId="3" borderId="0" pivotButton="0" quotePrefix="0" xfId="0"/>
    <xf numFmtId="4" fontId="0" fillId="3" borderId="0" pivotButton="0" quotePrefix="0" xfId="0"/>
    <xf numFmtId="4" fontId="0" fillId="0" borderId="0" pivotButton="0" quotePrefix="0" xfId="0"/>
    <xf numFmtId="9" fontId="0" fillId="0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EPG BvA - 2026-09 (DRAFT, BOOKS NOT CLOSED)</t>
        </is>
      </c>
    </row>
    <row r="2">
      <c r="A2" t="inlineStr">
        <is>
          <t>Entity: Eden Partner Group (EPG). Prepared 2026-10-16, acting for Joel Fairchild ahead of hand-off. Read-only: nothing was written to QuickBooks, Gusto or the bank.</t>
        </is>
      </c>
    </row>
    <row r="3">
      <c r="A3" t="inlineStr"/>
    </row>
    <row r="4">
      <c r="A4" s="1" t="inlineStr">
        <is>
          <t>STATUS FLAGS</t>
        </is>
      </c>
    </row>
    <row r="5">
      <c r="A5" t="inlineStr">
        <is>
          <t>1. Books not closed. Joel owns Day 3 close; none of the QuickBooks figures here are confirmed.</t>
        </is>
      </c>
    </row>
    <row r="6">
      <c r="A6" t="inlineStr">
        <is>
          <t>2. Basis unproven. The QuickBooks connector gives no accrual/cash flag on the P&amp;L. Sales by Customer returned identical totals on accrual and cash ($59,100, one customer, June only).</t>
        </is>
      </c>
    </row>
    <row r="7">
      <c r="A7" t="inlineStr">
        <is>
          <t>3. QuickBooks has almost no 2026 invoices: 0 invoices in the last 180 days, 0 open A/R at 10/15, and only $59,100 of customer-tied sales YTD. The Hub shows $982,428 billed YTD. September P&amp;L income ($117,500) is not tied to a customer.</t>
        </is>
      </c>
    </row>
    <row r="8">
      <c r="A8" t="inlineStr">
        <is>
          <t>4. Budget is blank: no monthly revenue budget is approved. Annual target $2,350,000 is on the Hub; the proposed monthly ramp is on the BvA tab and is marked PROPOSED.</t>
        </is>
      </c>
    </row>
    <row r="9">
      <c r="A9" t="inlineStr">
        <is>
          <t>5. Payments received are NOT filled in. Bank and deposit data are not available to this connector; the Hub "Date: $ In" column is empty. Column "Paid (date / amount)" on the Invoice Ledger needs the bank statement or QuickBooks deposits.</t>
        </is>
      </c>
    </row>
    <row r="10">
      <c r="A10" t="inlineStr">
        <is>
          <t>6. Invoice "date sent" comes from the last outbox activity on kev@edenexec.com for that invoice number, not the exact send time. Jan to Feb invoices were not found in the outbox by subject.</t>
        </is>
      </c>
    </row>
    <row r="11">
      <c r="A11" t="inlineStr"/>
    </row>
    <row r="12">
      <c r="A12" s="1" t="inlineStr">
        <is>
          <t>TABS</t>
        </is>
      </c>
    </row>
    <row r="13">
      <c r="A13" t="inlineStr">
        <is>
          <t>Invoice Ledger: one row per Hub invoice (client, role, amount, terms, due date, outbox evidence, payment match).</t>
        </is>
      </c>
    </row>
    <row r="14">
      <c r="A14" t="inlineStr">
        <is>
          <t>Client names tidied (Megwatt to Megawatt; PENTA and PENTA So. Cal merged; Pence variants merged; Baker and Baker Construction merged; Baker Concrete kept separate: confirm).</t>
        </is>
      </c>
    </row>
    <row r="15">
      <c r="A15" t="inlineStr">
        <is>
          <t>Revenue YTD: totals by month of start date (accrual recognition at placement start) and by client.</t>
        </is>
      </c>
    </row>
    <row r="16">
      <c r="A16" t="inlineStr">
        <is>
          <t>QBO Tie-out: Hub vs QuickBooks.</t>
        </is>
      </c>
    </row>
    <row r="17">
      <c r="A17" t="inlineStr">
        <is>
          <t>BvA Sep: September actuals from QuickBooks next to a proposed budget.</t>
        </is>
      </c>
    </row>
    <row r="18">
      <c r="A18" t="inlineStr">
        <is>
          <t>Questions for Joel and Radar.</t>
        </is>
      </c>
    </row>
    <row r="19">
      <c r="A19" t="inlineStr"/>
    </row>
    <row r="20">
      <c r="A20" t="inlineStr">
        <is>
          <t>PRIVACY: totals by client and role only. No candidate names, salaries or bank details.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8" customWidth="1" min="3" max="3"/>
    <col width="12" customWidth="1" min="4" max="4"/>
    <col width="9" customWidth="1" min="5" max="5"/>
    <col width="12" customWidth="1" min="6" max="6"/>
    <col width="10" customWidth="1" min="7" max="7"/>
    <col width="10" customWidth="1" min="8" max="8"/>
    <col width="14" customWidth="1" min="9" max="9"/>
    <col width="10" customWidth="1" min="10" max="10"/>
    <col width="13" customWidth="1" min="11" max="11"/>
    <col width="18" customWidth="1" min="12" max="12"/>
    <col width="26" customWidth="1" min="13" max="13"/>
    <col width="70" customWidth="1" min="14" max="14"/>
  </cols>
  <sheetData>
    <row r="1">
      <c r="A1" s="2" t="inlineStr">
        <is>
          <t>Invoice #</t>
        </is>
      </c>
      <c r="B1" s="2" t="inlineStr">
        <is>
          <t>Client</t>
        </is>
      </c>
      <c r="C1" s="2" t="inlineStr">
        <is>
          <t>Role</t>
        </is>
      </c>
      <c r="D1" s="2" t="inlineStr">
        <is>
          <t>Start date</t>
        </is>
      </c>
      <c r="E1" s="2" t="inlineStr">
        <is>
          <t>Net terms (days)</t>
        </is>
      </c>
      <c r="F1" s="2" t="inlineStr">
        <is>
          <t>Due date</t>
        </is>
      </c>
      <c r="G1" s="2" t="inlineStr">
        <is>
          <t>Fee</t>
        </is>
      </c>
      <c r="H1" s="2" t="inlineStr">
        <is>
          <t>Discount</t>
        </is>
      </c>
      <c r="I1" s="2" t="inlineStr">
        <is>
          <t>Billed (fee less discount)</t>
        </is>
      </c>
      <c r="J1" s="2" t="inlineStr">
        <is>
          <t>Month of start</t>
        </is>
      </c>
      <c r="K1" s="2" t="inlineStr">
        <is>
          <t>Outbox last activity</t>
        </is>
      </c>
      <c r="L1" s="2" t="inlineStr">
        <is>
          <t>Paid (date / amount)</t>
        </is>
      </c>
      <c r="M1" s="2" t="inlineStr">
        <is>
          <t>Status</t>
        </is>
      </c>
      <c r="N1" s="2" t="inlineStr">
        <is>
          <t>Notes</t>
        </is>
      </c>
    </row>
    <row r="2">
      <c r="A2" t="inlineStr">
        <is>
          <t>62021</t>
        </is>
      </c>
      <c r="B2" t="inlineStr">
        <is>
          <t>PB South</t>
        </is>
      </c>
      <c r="C2" t="inlineStr">
        <is>
          <t>Sr. Superintendent</t>
        </is>
      </c>
      <c r="D2" s="3" t="n">
        <v>46027</v>
      </c>
      <c r="E2" t="n">
        <v>30</v>
      </c>
      <c r="F2" s="3">
        <f>IF(D2="","",D2+E2)</f>
        <v/>
      </c>
      <c r="G2" s="4" t="n">
        <v>30600</v>
      </c>
      <c r="H2" s="4" t="n">
        <v>7500</v>
      </c>
      <c r="I2" s="4">
        <f>G2-H2</f>
        <v/>
      </c>
      <c r="J2">
        <f>IF(D2="","",TEXT(D2,"yyyy-mm"))</f>
        <v/>
      </c>
      <c r="K2" s="3" t="n"/>
      <c r="L2" s="5" t="n"/>
      <c r="M2">
        <f>IF(I2=0,"No fee",IF(D2="","Check start date",IF(D2&gt;DATE(2026,10,16),"Future start, not yet earned",IF(L2&lt;&gt;"","Paid?",IF(K2="","Not found in outbox",IF(F2&lt;DATE(2026,10,16),"Past due or paid: check bank","Sent, not yet due"))))))</f>
        <v/>
      </c>
      <c r="N2" t="inlineStr">
        <is>
          <t>Terms blank: Net 30 assumed.</t>
        </is>
      </c>
    </row>
    <row r="3">
      <c r="A3" t="inlineStr">
        <is>
          <t>62022</t>
        </is>
      </c>
      <c r="B3" t="inlineStr">
        <is>
          <t>Swinerton - DFW</t>
        </is>
      </c>
      <c r="C3" t="inlineStr">
        <is>
          <t>Superintendent</t>
        </is>
      </c>
      <c r="D3" s="3" t="n">
        <v>46048</v>
      </c>
      <c r="E3" t="n">
        <v>30</v>
      </c>
      <c r="F3" s="3">
        <f>IF(D3="","",D3+E3)</f>
        <v/>
      </c>
      <c r="G3" s="4" t="n">
        <v>30000</v>
      </c>
      <c r="H3" s="4" t="n">
        <v>0</v>
      </c>
      <c r="I3" s="4">
        <f>G3-H3</f>
        <v/>
      </c>
      <c r="J3">
        <f>IF(D3="","",TEXT(D3,"yyyy-mm"))</f>
        <v/>
      </c>
      <c r="K3" s="3" t="n"/>
      <c r="L3" s="5" t="n"/>
      <c r="M3">
        <f>IF(I3=0,"No fee",IF(D3="","Check start date",IF(D3&gt;DATE(2026,10,16),"Future start, not yet earned",IF(L3&lt;&gt;"","Paid?",IF(K3="","Not found in outbox",IF(F3&lt;DATE(2026,10,16),"Past due or paid: check bank","Sent, not yet due"))))))</f>
        <v/>
      </c>
      <c r="N3" t="inlineStr">
        <is>
          <t>Terms blank: Net 30 assumed.</t>
        </is>
      </c>
    </row>
    <row r="4">
      <c r="A4" t="inlineStr">
        <is>
          <t>62023</t>
        </is>
      </c>
      <c r="B4" t="inlineStr">
        <is>
          <t>PB South</t>
        </is>
      </c>
      <c r="C4" t="inlineStr">
        <is>
          <t>N/A</t>
        </is>
      </c>
      <c r="D4" s="3" t="n">
        <v>46037</v>
      </c>
      <c r="E4" t="n">
        <v>30</v>
      </c>
      <c r="F4" s="3">
        <f>IF(D4="","",D4+E4)</f>
        <v/>
      </c>
      <c r="G4" s="4" t="n">
        <v>7500</v>
      </c>
      <c r="H4" s="4" t="n">
        <v>0</v>
      </c>
      <c r="I4" s="4">
        <f>G4-H4</f>
        <v/>
      </c>
      <c r="J4">
        <f>IF(D4="","",TEXT(D4,"yyyy-mm"))</f>
        <v/>
      </c>
      <c r="K4" s="3" t="n"/>
      <c r="L4" s="5" t="n"/>
      <c r="M4">
        <f>IF(I4=0,"No fee",IF(D4="","Check start date",IF(D4&gt;DATE(2026,10,16),"Future start, not yet earned",IF(L4&lt;&gt;"","Paid?",IF(K4="","Not found in outbox",IF(F4&lt;DATE(2026,10,16),"Past due or paid: check bank","Sent, not yet due"))))))</f>
        <v/>
      </c>
      <c r="N4" t="inlineStr">
        <is>
          <t>Terms blank: Net 30 assumed.</t>
        </is>
      </c>
    </row>
    <row r="5">
      <c r="A5" t="inlineStr">
        <is>
          <t>62024</t>
        </is>
      </c>
      <c r="B5" t="inlineStr">
        <is>
          <t>PENTA</t>
        </is>
      </c>
      <c r="C5" t="inlineStr">
        <is>
          <t>Sr. Superintendent</t>
        </is>
      </c>
      <c r="D5" s="3" t="n">
        <v>46038</v>
      </c>
      <c r="E5" t="n">
        <v>30</v>
      </c>
      <c r="F5" s="3">
        <f>IF(D5="","",D5+E5)</f>
        <v/>
      </c>
      <c r="G5" s="4" t="n">
        <v>14250</v>
      </c>
      <c r="H5" s="4" t="n">
        <v>0</v>
      </c>
      <c r="I5" s="4">
        <f>G5-H5</f>
        <v/>
      </c>
      <c r="J5">
        <f>IF(D5="","",TEXT(D5,"yyyy-mm"))</f>
        <v/>
      </c>
      <c r="K5" s="3" t="n"/>
      <c r="L5" s="5" t="n"/>
      <c r="M5">
        <f>IF(I5=0,"No fee",IF(D5="","Check start date",IF(D5&gt;DATE(2026,10,16),"Future start, not yet earned",IF(L5&lt;&gt;"","Paid?",IF(K5="","Not found in outbox",IF(F5&lt;DATE(2026,10,16),"Past due or paid: check bank","Sent, not yet due"))))))</f>
        <v/>
      </c>
      <c r="N5" t="inlineStr">
        <is>
          <t>Terms blank: Net 30 assumed.</t>
        </is>
      </c>
    </row>
    <row r="6">
      <c r="A6" t="inlineStr">
        <is>
          <t>62025</t>
        </is>
      </c>
      <c r="B6" t="inlineStr">
        <is>
          <t>PB South</t>
        </is>
      </c>
      <c r="C6" t="inlineStr">
        <is>
          <t>Project Acct. / Office Mngr</t>
        </is>
      </c>
      <c r="D6" s="3" t="n">
        <v>46057</v>
      </c>
      <c r="E6" t="n">
        <v>30</v>
      </c>
      <c r="F6" s="3">
        <f>IF(D6="","",D6+E6)</f>
        <v/>
      </c>
      <c r="G6" s="4" t="n">
        <v>19800</v>
      </c>
      <c r="H6" s="4" t="n">
        <v>7500</v>
      </c>
      <c r="I6" s="4">
        <f>G6-H6</f>
        <v/>
      </c>
      <c r="J6">
        <f>IF(D6="","",TEXT(D6,"yyyy-mm"))</f>
        <v/>
      </c>
      <c r="K6" s="3" t="n"/>
      <c r="L6" s="5" t="n"/>
      <c r="M6">
        <f>IF(I6=0,"No fee",IF(D6="","Check start date",IF(D6&gt;DATE(2026,10,16),"Future start, not yet earned",IF(L6&lt;&gt;"","Paid?",IF(K6="","Not found in outbox",IF(F6&lt;DATE(2026,10,16),"Past due or paid: check bank","Sent, not yet due"))))))</f>
        <v/>
      </c>
      <c r="N6" t="inlineStr">
        <is>
          <t>Terms blank: Net 30 assumed.</t>
        </is>
      </c>
    </row>
    <row r="7">
      <c r="A7" t="inlineStr">
        <is>
          <t>62026-A</t>
        </is>
      </c>
      <c r="B7" t="inlineStr">
        <is>
          <t>Beck Group</t>
        </is>
      </c>
      <c r="C7" t="inlineStr">
        <is>
          <t>Drywall Sr. PM</t>
        </is>
      </c>
      <c r="D7" s="3" t="n">
        <v>46062</v>
      </c>
      <c r="E7" t="n">
        <v>30</v>
      </c>
      <c r="F7" s="3">
        <f>IF(D7="","",D7+E7)</f>
        <v/>
      </c>
      <c r="G7" s="4" t="n">
        <v>15000</v>
      </c>
      <c r="H7" s="4" t="n">
        <v>0</v>
      </c>
      <c r="I7" s="4">
        <f>G7-H7</f>
        <v/>
      </c>
      <c r="J7">
        <f>IF(D7="","",TEXT(D7,"yyyy-mm"))</f>
        <v/>
      </c>
      <c r="K7" s="3" t="n"/>
      <c r="L7" s="5" t="n"/>
      <c r="M7">
        <f>IF(I7=0,"No fee",IF(D7="","Check start date",IF(D7&gt;DATE(2026,10,16),"Future start, not yet earned",IF(L7&lt;&gt;"","Paid?",IF(K7="","Not found in outbox",IF(F7&lt;DATE(2026,10,16),"Past due or paid: check bank","Sent, not yet due"))))))</f>
        <v/>
      </c>
      <c r="N7" t="inlineStr">
        <is>
          <t>Split bill with 62026-B (net 30 and net 90).</t>
        </is>
      </c>
    </row>
    <row r="8">
      <c r="A8" t="inlineStr">
        <is>
          <t>62026-B</t>
        </is>
      </c>
      <c r="B8" t="inlineStr">
        <is>
          <t>Beck Group</t>
        </is>
      </c>
      <c r="C8" t="inlineStr">
        <is>
          <t>Drywall Sr. PM</t>
        </is>
      </c>
      <c r="D8" s="3" t="n">
        <v>46062</v>
      </c>
      <c r="E8" t="n">
        <v>90</v>
      </c>
      <c r="F8" s="3">
        <f>IF(D8="","",D8+E8)</f>
        <v/>
      </c>
      <c r="G8" s="4" t="n">
        <v>15000</v>
      </c>
      <c r="H8" s="4" t="n">
        <v>0</v>
      </c>
      <c r="I8" s="4">
        <f>G8-H8</f>
        <v/>
      </c>
      <c r="J8">
        <f>IF(D8="","",TEXT(D8,"yyyy-mm"))</f>
        <v/>
      </c>
      <c r="K8" s="3" t="n"/>
      <c r="L8" s="5" t="n"/>
      <c r="M8">
        <f>IF(I8=0,"No fee",IF(D8="","Check start date",IF(D8&gt;DATE(2026,10,16),"Future start, not yet earned",IF(L8&lt;&gt;"","Paid?",IF(K8="","Not found in outbox",IF(F8&lt;DATE(2026,10,16),"Past due or paid: check bank","Sent, not yet due"))))))</f>
        <v/>
      </c>
      <c r="N8" t="inlineStr">
        <is>
          <t>Second $15,000 line for the same Beck Group start (net 90). Confirm it is a split bill, not a double count.</t>
        </is>
      </c>
    </row>
    <row r="9">
      <c r="A9" t="inlineStr">
        <is>
          <t>62027</t>
        </is>
      </c>
      <c r="B9" t="inlineStr">
        <is>
          <t>PB South</t>
        </is>
      </c>
      <c r="C9" t="inlineStr">
        <is>
          <t>MEP Sr. PM</t>
        </is>
      </c>
      <c r="D9" s="3" t="n">
        <v>46069</v>
      </c>
      <c r="E9" t="n">
        <v>30</v>
      </c>
      <c r="F9" s="3">
        <f>IF(D9="","",D9+E9)</f>
        <v/>
      </c>
      <c r="G9" s="4" t="n">
        <v>36000</v>
      </c>
      <c r="H9" s="4" t="n">
        <v>0</v>
      </c>
      <c r="I9" s="4">
        <f>G9-H9</f>
        <v/>
      </c>
      <c r="J9">
        <f>IF(D9="","",TEXT(D9,"yyyy-mm"))</f>
        <v/>
      </c>
      <c r="K9" s="3" t="n"/>
      <c r="L9" s="5" t="n"/>
      <c r="M9">
        <f>IF(I9=0,"No fee",IF(D9="","Check start date",IF(D9&gt;DATE(2026,10,16),"Future start, not yet earned",IF(L9&lt;&gt;"","Paid?",IF(K9="","Not found in outbox",IF(F9&lt;DATE(2026,10,16),"Past due or paid: check bank","Sent, not yet due"))))))</f>
        <v/>
      </c>
      <c r="N9" t="inlineStr">
        <is>
          <t>Terms blank: Net 30 assumed.</t>
        </is>
      </c>
    </row>
    <row r="10">
      <c r="A10" t="inlineStr">
        <is>
          <t>62028</t>
        </is>
      </c>
      <c r="B10" t="inlineStr">
        <is>
          <t>PB South</t>
        </is>
      </c>
      <c r="C10" t="inlineStr">
        <is>
          <t>Assistnat Project Manager</t>
        </is>
      </c>
      <c r="D10" s="3" t="n">
        <v>46076</v>
      </c>
      <c r="E10" t="n">
        <v>30</v>
      </c>
      <c r="F10" s="3">
        <f>IF(D10="","",D10+E10)</f>
        <v/>
      </c>
      <c r="G10" s="4" t="n">
        <v>0</v>
      </c>
      <c r="H10" s="4" t="n">
        <v>0</v>
      </c>
      <c r="I10" s="4">
        <f>G10-H10</f>
        <v/>
      </c>
      <c r="J10">
        <f>IF(D10="","",TEXT(D10,"yyyy-mm"))</f>
        <v/>
      </c>
      <c r="K10" s="3" t="n"/>
      <c r="L10" s="5" t="n"/>
      <c r="M10">
        <f>IF(I10=0,"No fee",IF(D10="","Check start date",IF(D10&gt;DATE(2026,10,16),"Future start, not yet earned",IF(L10&lt;&gt;"","Paid?",IF(K10="","Not found in outbox",IF(F10&lt;DATE(2026,10,16),"Past due or paid: check bank","Sent, not yet due"))))))</f>
        <v/>
      </c>
      <c r="N10" t="inlineStr">
        <is>
          <t>$0 fee. Terms blank: Net 30 assumed.</t>
        </is>
      </c>
    </row>
    <row r="11">
      <c r="A11" t="inlineStr">
        <is>
          <t>62029</t>
        </is>
      </c>
      <c r="B11" t="inlineStr">
        <is>
          <t>PB South</t>
        </is>
      </c>
      <c r="C11" t="inlineStr">
        <is>
          <t>N/A</t>
        </is>
      </c>
      <c r="D11" s="3" t="n">
        <v>46068</v>
      </c>
      <c r="E11" t="n">
        <v>30</v>
      </c>
      <c r="F11" s="3">
        <f>IF(D11="","",D11+E11)</f>
        <v/>
      </c>
      <c r="G11" s="4" t="n">
        <v>7500</v>
      </c>
      <c r="H11" s="4" t="n">
        <v>0</v>
      </c>
      <c r="I11" s="4">
        <f>G11-H11</f>
        <v/>
      </c>
      <c r="J11">
        <f>IF(D11="","",TEXT(D11,"yyyy-mm"))</f>
        <v/>
      </c>
      <c r="K11" s="3" t="n"/>
      <c r="L11" s="5" t="n"/>
      <c r="M11">
        <f>IF(I11=0,"No fee",IF(D11="","Check start date",IF(D11&gt;DATE(2026,10,16),"Future start, not yet earned",IF(L11&lt;&gt;"","Paid?",IF(K11="","Not found in outbox",IF(F11&lt;DATE(2026,10,16),"Past due or paid: check bank","Sent, not yet due"))))))</f>
        <v/>
      </c>
      <c r="N11" t="inlineStr">
        <is>
          <t>Start date typed 2/15/0206 in the Hub; treated as 2/15/2026. Terms blank: Net 30 assumed.</t>
        </is>
      </c>
    </row>
    <row r="12">
      <c r="A12" t="inlineStr">
        <is>
          <t>62030</t>
        </is>
      </c>
      <c r="B12" t="inlineStr">
        <is>
          <t>Jackson Contracting</t>
        </is>
      </c>
      <c r="C12" t="inlineStr">
        <is>
          <t>N/A</t>
        </is>
      </c>
      <c r="D12" s="3" t="n"/>
      <c r="E12" t="n">
        <v>30</v>
      </c>
      <c r="F12" s="3">
        <f>IF(D12="","",D12+E12)</f>
        <v/>
      </c>
      <c r="G12" s="4" t="n">
        <v>8333</v>
      </c>
      <c r="H12" s="4" t="n">
        <v>0</v>
      </c>
      <c r="I12" s="4">
        <f>G12-H12</f>
        <v/>
      </c>
      <c r="J12">
        <f>IF(D12="","",TEXT(D12,"yyyy-mm"))</f>
        <v/>
      </c>
      <c r="K12" s="3" t="n"/>
      <c r="L12" s="5" t="n"/>
      <c r="M12">
        <f>IF(I12=0,"No fee",IF(D12="","Check start date",IF(D12&gt;DATE(2026,10,16),"Future start, not yet earned",IF(L12&lt;&gt;"","Paid?",IF(K12="","Not found in outbox",IF(F12&lt;DATE(2026,10,16),"Past due or paid: check bank","Sent, not yet due"))))))</f>
        <v/>
      </c>
      <c r="N12" t="inlineStr">
        <is>
          <t>No start date in the Hub. Terms blank: Net 30 assumed.</t>
        </is>
      </c>
    </row>
    <row r="13">
      <c r="A13" t="inlineStr">
        <is>
          <t>62031</t>
        </is>
      </c>
      <c r="B13" t="inlineStr">
        <is>
          <t>Baker Concrete</t>
        </is>
      </c>
      <c r="C13" t="inlineStr">
        <is>
          <t>Project Executive</t>
        </is>
      </c>
      <c r="D13" s="3" t="n">
        <v>46080</v>
      </c>
      <c r="E13" t="n">
        <v>30</v>
      </c>
      <c r="F13" s="3">
        <f>IF(D13="","",D13+E13)</f>
        <v/>
      </c>
      <c r="G13" s="4" t="n">
        <v>56320</v>
      </c>
      <c r="H13" s="4" t="n">
        <v>0</v>
      </c>
      <c r="I13" s="4">
        <f>G13-H13</f>
        <v/>
      </c>
      <c r="J13">
        <f>IF(D13="","",TEXT(D13,"yyyy-mm"))</f>
        <v/>
      </c>
      <c r="K13" s="3" t="n"/>
      <c r="L13" s="5" t="n"/>
      <c r="M13">
        <f>IF(I13=0,"No fee",IF(D13="","Check start date",IF(D13&gt;DATE(2026,10,16),"Future start, not yet earned",IF(L13&lt;&gt;"","Paid?",IF(K13="","Not found in outbox",IF(F13&lt;DATE(2026,10,16),"Past due or paid: check bank","Sent, not yet due"))))))</f>
        <v/>
      </c>
      <c r="N13" t="inlineStr">
        <is>
          <t>Terms blank: Net 30 assumed.</t>
        </is>
      </c>
    </row>
    <row r="14">
      <c r="A14" t="inlineStr">
        <is>
          <t>62032</t>
        </is>
      </c>
      <c r="B14" t="inlineStr">
        <is>
          <t>PB South</t>
        </is>
      </c>
      <c r="C14" t="inlineStr">
        <is>
          <t>Sr. Project Manager</t>
        </is>
      </c>
      <c r="D14" s="3" t="n">
        <v>46096</v>
      </c>
      <c r="E14" t="n">
        <v>30</v>
      </c>
      <c r="F14" s="3">
        <f>IF(D14="","",D14+E14)</f>
        <v/>
      </c>
      <c r="G14" s="4" t="n">
        <v>40500</v>
      </c>
      <c r="H14" s="4" t="n">
        <v>7500</v>
      </c>
      <c r="I14" s="4">
        <f>G14-H14</f>
        <v/>
      </c>
      <c r="J14">
        <f>IF(D14="","",TEXT(D14,"yyyy-mm"))</f>
        <v/>
      </c>
      <c r="K14" s="3" t="n"/>
      <c r="L14" s="5" t="n"/>
      <c r="M14">
        <f>IF(I14=0,"No fee",IF(D14="","Check start date",IF(D14&gt;DATE(2026,10,16),"Future start, not yet earned",IF(L14&lt;&gt;"","Paid?",IF(K14="","Not found in outbox",IF(F14&lt;DATE(2026,10,16),"Past due or paid: check bank","Sent, not yet due"))))))</f>
        <v/>
      </c>
      <c r="N14" t="inlineStr">
        <is>
          <t>Terms blank: Net 30 assumed.</t>
        </is>
      </c>
    </row>
    <row r="15">
      <c r="A15" t="inlineStr">
        <is>
          <t>62033</t>
        </is>
      </c>
      <c r="B15" t="inlineStr">
        <is>
          <t>PB South</t>
        </is>
      </c>
      <c r="C15" t="inlineStr">
        <is>
          <t>NA</t>
        </is>
      </c>
      <c r="D15" s="3" t="n"/>
      <c r="E15" t="n">
        <v>30</v>
      </c>
      <c r="F15" s="3">
        <f>IF(D15="","",D15+E15)</f>
        <v/>
      </c>
      <c r="G15" s="4" t="n">
        <v>7500</v>
      </c>
      <c r="H15" s="4" t="n">
        <v>0</v>
      </c>
      <c r="I15" s="4">
        <f>G15-H15</f>
        <v/>
      </c>
      <c r="J15">
        <f>IF(D15="","",TEXT(D15,"yyyy-mm"))</f>
        <v/>
      </c>
      <c r="K15" s="3" t="n"/>
      <c r="L15" s="5" t="n"/>
      <c r="M15">
        <f>IF(I15=0,"No fee",IF(D15="","Check start date",IF(D15&gt;DATE(2026,10,16),"Future start, not yet earned",IF(L15&lt;&gt;"","Paid?",IF(K15="","Not found in outbox",IF(F15&lt;DATE(2026,10,16),"Past due or paid: check bank","Sent, not yet due"))))))</f>
        <v/>
      </c>
      <c r="N15" t="inlineStr">
        <is>
          <t>No start date; "due by 15th". Terms blank: Net 30 assumed.</t>
        </is>
      </c>
    </row>
    <row r="16">
      <c r="A16" t="inlineStr">
        <is>
          <t>62034</t>
        </is>
      </c>
      <c r="B16" t="inlineStr">
        <is>
          <t>Megawatt</t>
        </is>
      </c>
      <c r="C16" t="inlineStr"/>
      <c r="D16" s="3" t="n">
        <v>46111</v>
      </c>
      <c r="E16" t="n">
        <v>30</v>
      </c>
      <c r="F16" s="3">
        <f>IF(D16="","",D16+E16)</f>
        <v/>
      </c>
      <c r="G16" s="4" t="n">
        <v>0</v>
      </c>
      <c r="H16" s="4" t="n">
        <v>0</v>
      </c>
      <c r="I16" s="4">
        <f>G16-H16</f>
        <v/>
      </c>
      <c r="J16">
        <f>IF(D16="","",TEXT(D16,"yyyy-mm"))</f>
        <v/>
      </c>
      <c r="K16" s="3" t="n"/>
      <c r="L16" s="5" t="n"/>
      <c r="M16">
        <f>IF(I16=0,"No fee",IF(D16="","Check start date",IF(D16&gt;DATE(2026,10,16),"Future start, not yet earned",IF(L16&lt;&gt;"","Paid?",IF(K16="","Not found in outbox",IF(F16&lt;DATE(2026,10,16),"Past due or paid: check bank","Sent, not yet due"))))))</f>
        <v/>
      </c>
      <c r="N16" t="inlineStr">
        <is>
          <t>$0 fee. Terms blank: Net 30 assumed.</t>
        </is>
      </c>
    </row>
    <row r="17">
      <c r="A17" t="inlineStr">
        <is>
          <t>62035</t>
        </is>
      </c>
      <c r="B17" t="inlineStr">
        <is>
          <t>Megawatt</t>
        </is>
      </c>
      <c r="C17" t="inlineStr">
        <is>
          <t>Scheduler</t>
        </is>
      </c>
      <c r="D17" s="3" t="n">
        <v>46104</v>
      </c>
      <c r="E17" t="n">
        <v>40</v>
      </c>
      <c r="F17" s="3">
        <f>IF(D17="","",D17+E17)</f>
        <v/>
      </c>
      <c r="G17" s="4" t="n">
        <v>31000</v>
      </c>
      <c r="H17" s="4" t="n">
        <v>0</v>
      </c>
      <c r="I17" s="4">
        <f>G17-H17</f>
        <v/>
      </c>
      <c r="J17">
        <f>IF(D17="","",TEXT(D17,"yyyy-mm"))</f>
        <v/>
      </c>
      <c r="K17" s="3" t="n"/>
      <c r="L17" s="5" t="n"/>
      <c r="M17">
        <f>IF(I17=0,"No fee",IF(D17="","Check start date",IF(D17&gt;DATE(2026,10,16),"Future start, not yet earned",IF(L17&lt;&gt;"","Paid?",IF(K17="","Not found in outbox",IF(F17&lt;DATE(2026,10,16),"Past due or paid: check bank","Sent, not yet due"))))))</f>
        <v/>
      </c>
      <c r="N17" t="inlineStr"/>
    </row>
    <row r="18">
      <c r="A18" t="inlineStr">
        <is>
          <t>62036</t>
        </is>
      </c>
      <c r="B18" t="inlineStr">
        <is>
          <t>Moss Construction</t>
        </is>
      </c>
      <c r="C18" t="inlineStr">
        <is>
          <t>Safety Manager</t>
        </is>
      </c>
      <c r="D18" s="3" t="n">
        <v>46111</v>
      </c>
      <c r="E18" t="n">
        <v>30</v>
      </c>
      <c r="F18" s="3">
        <f>IF(D18="","",D18+E18)</f>
        <v/>
      </c>
      <c r="G18" s="4" t="n">
        <v>16000</v>
      </c>
      <c r="H18" s="4" t="n">
        <v>0</v>
      </c>
      <c r="I18" s="4">
        <f>G18-H18</f>
        <v/>
      </c>
      <c r="J18">
        <f>IF(D18="","",TEXT(D18,"yyyy-mm"))</f>
        <v/>
      </c>
      <c r="K18" s="3" t="n">
        <v>46111</v>
      </c>
      <c r="L18" s="5" t="n"/>
      <c r="M18">
        <f>IF(I18=0,"No fee",IF(D18="","Check start date",IF(D18&gt;DATE(2026,10,16),"Future start, not yet earned",IF(L18&lt;&gt;"","Paid?",IF(K18="","Not found in outbox",IF(F18&lt;DATE(2026,10,16),"Past due or paid: check bank","Sent, not yet due"))))))</f>
        <v/>
      </c>
      <c r="N18" t="inlineStr"/>
    </row>
    <row r="19">
      <c r="A19" t="inlineStr">
        <is>
          <t>62037</t>
        </is>
      </c>
      <c r="B19" t="inlineStr">
        <is>
          <t>Megawatt</t>
        </is>
      </c>
      <c r="C19" t="inlineStr">
        <is>
          <t>Superintendent</t>
        </is>
      </c>
      <c r="D19" s="3" t="n">
        <v>46118</v>
      </c>
      <c r="E19" t="n">
        <v>40</v>
      </c>
      <c r="F19" s="3">
        <f>IF(D19="","",D19+E19)</f>
        <v/>
      </c>
      <c r="G19" s="4" t="n">
        <v>36000</v>
      </c>
      <c r="H19" s="4" t="n">
        <v>0</v>
      </c>
      <c r="I19" s="4">
        <f>G19-H19</f>
        <v/>
      </c>
      <c r="J19">
        <f>IF(D19="","",TEXT(D19,"yyyy-mm"))</f>
        <v/>
      </c>
      <c r="K19" s="3" t="n">
        <v>46118</v>
      </c>
      <c r="L19" s="5" t="n"/>
      <c r="M19">
        <f>IF(I19=0,"No fee",IF(D19="","Check start date",IF(D19&gt;DATE(2026,10,16),"Future start, not yet earned",IF(L19&lt;&gt;"","Paid?",IF(K19="","Not found in outbox",IF(F19&lt;DATE(2026,10,16),"Past due or paid: check bank","Sent, not yet due"))))))</f>
        <v/>
      </c>
      <c r="N19" t="inlineStr"/>
    </row>
    <row r="20">
      <c r="A20" t="inlineStr">
        <is>
          <t>62038</t>
        </is>
      </c>
      <c r="B20" t="inlineStr">
        <is>
          <t>PENTA</t>
        </is>
      </c>
      <c r="C20" t="inlineStr">
        <is>
          <t>Scheduler</t>
        </is>
      </c>
      <c r="D20" s="3" t="n">
        <v>46098</v>
      </c>
      <c r="E20" t="n">
        <v>0</v>
      </c>
      <c r="F20" s="3">
        <f>IF(D20="","",D20+E20)</f>
        <v/>
      </c>
      <c r="G20" s="4" t="n">
        <v>8600</v>
      </c>
      <c r="H20" s="4" t="n">
        <v>0</v>
      </c>
      <c r="I20" s="4">
        <f>G20-H20</f>
        <v/>
      </c>
      <c r="J20">
        <f>IF(D20="","",TEXT(D20,"yyyy-mm"))</f>
        <v/>
      </c>
      <c r="K20" s="3" t="n">
        <v>46100</v>
      </c>
      <c r="L20" s="5" t="n"/>
      <c r="M20">
        <f>IF(I20=0,"No fee",IF(D20="","Check start date",IF(D20&gt;DATE(2026,10,16),"Future start, not yet earned",IF(L20&lt;&gt;"","Paid?",IF(K20="","Not found in outbox",IF(F20&lt;DATE(2026,10,16),"Past due or paid: check bank","Sent, not yet due"))))))</f>
        <v/>
      </c>
      <c r="N20" t="inlineStr"/>
    </row>
    <row r="21">
      <c r="A21" t="inlineStr">
        <is>
          <t>62039</t>
        </is>
      </c>
      <c r="B21" t="inlineStr">
        <is>
          <t>Pence</t>
        </is>
      </c>
      <c r="C21" t="inlineStr">
        <is>
          <t>N/A</t>
        </is>
      </c>
      <c r="D21" s="3" t="n">
        <v>46113</v>
      </c>
      <c r="E21" t="n">
        <v>30</v>
      </c>
      <c r="F21" s="3">
        <f>IF(D21="","",D21+E21)</f>
        <v/>
      </c>
      <c r="G21" s="4" t="n">
        <v>7500</v>
      </c>
      <c r="H21" s="4" t="n">
        <v>0</v>
      </c>
      <c r="I21" s="4">
        <f>G21-H21</f>
        <v/>
      </c>
      <c r="J21">
        <f>IF(D21="","",TEXT(D21,"yyyy-mm"))</f>
        <v/>
      </c>
      <c r="K21" s="3" t="n">
        <v>46113</v>
      </c>
      <c r="L21" s="5" t="n"/>
      <c r="M21">
        <f>IF(I21=0,"No fee",IF(D21="","Check start date",IF(D21&gt;DATE(2026,10,16),"Future start, not yet earned",IF(L21&lt;&gt;"","Paid?",IF(K21="","Not found in outbox",IF(F21&lt;DATE(2026,10,16),"Past due or paid: check bank","Sent, not yet due"))))))</f>
        <v/>
      </c>
      <c r="N21" t="inlineStr">
        <is>
          <t>Terms blank: Net 30 assumed.</t>
        </is>
      </c>
    </row>
    <row r="22">
      <c r="A22" t="inlineStr">
        <is>
          <t>62040</t>
        </is>
      </c>
      <c r="B22" t="inlineStr">
        <is>
          <t>Pence</t>
        </is>
      </c>
      <c r="C22" t="inlineStr">
        <is>
          <t>N/A</t>
        </is>
      </c>
      <c r="D22" s="3" t="n">
        <v>46143</v>
      </c>
      <c r="E22" t="n">
        <v>30</v>
      </c>
      <c r="F22" s="3">
        <f>IF(D22="","",D22+E22)</f>
        <v/>
      </c>
      <c r="G22" s="4" t="n">
        <v>7500</v>
      </c>
      <c r="H22" s="4" t="n">
        <v>0</v>
      </c>
      <c r="I22" s="4">
        <f>G22-H22</f>
        <v/>
      </c>
      <c r="J22">
        <f>IF(D22="","",TEXT(D22,"yyyy-mm"))</f>
        <v/>
      </c>
      <c r="K22" s="3" t="n">
        <v>46147</v>
      </c>
      <c r="L22" s="5" t="n"/>
      <c r="M22">
        <f>IF(I22=0,"No fee",IF(D22="","Check start date",IF(D22&gt;DATE(2026,10,16),"Future start, not yet earned",IF(L22&lt;&gt;"","Paid?",IF(K22="","Not found in outbox",IF(F22&lt;DATE(2026,10,16),"Past due or paid: check bank","Sent, not yet due"))))))</f>
        <v/>
      </c>
      <c r="N22" t="inlineStr">
        <is>
          <t>Terms blank: Net 30 assumed.</t>
        </is>
      </c>
    </row>
    <row r="23">
      <c r="A23" t="inlineStr">
        <is>
          <t>62041</t>
        </is>
      </c>
      <c r="B23" t="inlineStr">
        <is>
          <t>Megawatt</t>
        </is>
      </c>
      <c r="C23" t="inlineStr">
        <is>
          <t>Project Manager</t>
        </is>
      </c>
      <c r="D23" s="3" t="n">
        <v>46132</v>
      </c>
      <c r="E23" t="n">
        <v>40</v>
      </c>
      <c r="F23" s="3">
        <f>IF(D23="","",D23+E23)</f>
        <v/>
      </c>
      <c r="G23" s="4" t="n">
        <v>39000</v>
      </c>
      <c r="H23" s="4" t="n">
        <v>0</v>
      </c>
      <c r="I23" s="4">
        <f>G23-H23</f>
        <v/>
      </c>
      <c r="J23">
        <f>IF(D23="","",TEXT(D23,"yyyy-mm"))</f>
        <v/>
      </c>
      <c r="K23" s="3" t="n">
        <v>46132</v>
      </c>
      <c r="L23" s="5" t="n"/>
      <c r="M23">
        <f>IF(I23=0,"No fee",IF(D23="","Check start date",IF(D23&gt;DATE(2026,10,16),"Future start, not yet earned",IF(L23&lt;&gt;"","Paid?",IF(K23="","Not found in outbox",IF(F23&lt;DATE(2026,10,16),"Past due or paid: check bank","Sent, not yet due"))))))</f>
        <v/>
      </c>
      <c r="N23" t="inlineStr"/>
    </row>
    <row r="24">
      <c r="A24" t="inlineStr">
        <is>
          <t>62042</t>
        </is>
      </c>
      <c r="B24" t="inlineStr">
        <is>
          <t>Hoffman</t>
        </is>
      </c>
      <c r="C24" t="inlineStr">
        <is>
          <t>Supers - Tx/Boise</t>
        </is>
      </c>
      <c r="D24" s="3" t="n">
        <v>46160</v>
      </c>
      <c r="E24" t="n">
        <v>30</v>
      </c>
      <c r="F24" s="3">
        <f>IF(D24="","",D24+E24)</f>
        <v/>
      </c>
      <c r="G24" s="4" t="n">
        <v>40000</v>
      </c>
      <c r="H24" s="4" t="n">
        <v>0</v>
      </c>
      <c r="I24" s="4">
        <f>G24-H24</f>
        <v/>
      </c>
      <c r="J24">
        <f>IF(D24="","",TEXT(D24,"yyyy-mm"))</f>
        <v/>
      </c>
      <c r="K24" s="3" t="n">
        <v>46170</v>
      </c>
      <c r="L24" s="5" t="n"/>
      <c r="M24">
        <f>IF(I24=0,"No fee",IF(D24="","Check start date",IF(D24&gt;DATE(2026,10,16),"Future start, not yet earned",IF(L24&lt;&gt;"","Paid?",IF(K24="","Not found in outbox",IF(F24&lt;DATE(2026,10,16),"Past due or paid: check bank","Sent, not yet due"))))))</f>
        <v/>
      </c>
      <c r="N24" t="inlineStr">
        <is>
          <t>Terms blank: Net 30 assumed.</t>
        </is>
      </c>
    </row>
    <row r="25">
      <c r="A25" t="inlineStr">
        <is>
          <t>62043</t>
        </is>
      </c>
      <c r="B25" t="inlineStr">
        <is>
          <t>PENTA</t>
        </is>
      </c>
      <c r="C25" t="inlineStr">
        <is>
          <t>Regional Scheduling Manager</t>
        </is>
      </c>
      <c r="D25" s="3" t="n">
        <v>46181</v>
      </c>
      <c r="E25" t="n">
        <v>30</v>
      </c>
      <c r="F25" s="3">
        <f>IF(D25="","",D25+E25)</f>
        <v/>
      </c>
      <c r="G25" s="4" t="n">
        <v>39000</v>
      </c>
      <c r="H25" s="4" t="n">
        <v>8600</v>
      </c>
      <c r="I25" s="4">
        <f>G25-H25</f>
        <v/>
      </c>
      <c r="J25">
        <f>IF(D25="","",TEXT(D25,"yyyy-mm"))</f>
        <v/>
      </c>
      <c r="K25" s="3" t="n">
        <v>46181</v>
      </c>
      <c r="L25" s="5" t="n"/>
      <c r="M25">
        <f>IF(I25=0,"No fee",IF(D25="","Check start date",IF(D25&gt;DATE(2026,10,16),"Future start, not yet earned",IF(L25&lt;&gt;"","Paid?",IF(K25="","Not found in outbox",IF(F25&lt;DATE(2026,10,16),"Past due or paid: check bank","Sent, not yet due"))))))</f>
        <v/>
      </c>
      <c r="N25" t="inlineStr"/>
    </row>
    <row r="26">
      <c r="A26" t="inlineStr">
        <is>
          <t>62044</t>
        </is>
      </c>
      <c r="B26" t="inlineStr">
        <is>
          <t>Pence</t>
        </is>
      </c>
      <c r="C26" t="inlineStr">
        <is>
          <t>N/A</t>
        </is>
      </c>
      <c r="D26" s="3" t="n">
        <v>46174</v>
      </c>
      <c r="E26" t="n">
        <v>30</v>
      </c>
      <c r="F26" s="3">
        <f>IF(D26="","",D26+E26)</f>
        <v/>
      </c>
      <c r="G26" s="4" t="n">
        <v>0</v>
      </c>
      <c r="H26" s="4" t="n">
        <v>0</v>
      </c>
      <c r="I26" s="4">
        <f>G26-H26</f>
        <v/>
      </c>
      <c r="J26">
        <f>IF(D26="","",TEXT(D26,"yyyy-mm"))</f>
        <v/>
      </c>
      <c r="K26" s="3" t="n"/>
      <c r="L26" s="5" t="n"/>
      <c r="M26">
        <f>IF(I26=0,"No fee",IF(D26="","Check start date",IF(D26&gt;DATE(2026,10,16),"Future start, not yet earned",IF(L26&lt;&gt;"","Paid?",IF(K26="","Not found in outbox",IF(F26&lt;DATE(2026,10,16),"Past due or paid: check bank","Sent, not yet due"))))))</f>
        <v/>
      </c>
      <c r="N26" t="inlineStr">
        <is>
          <t>$0 fee. Terms blank: Net 30 assumed.</t>
        </is>
      </c>
    </row>
    <row r="27">
      <c r="A27" t="inlineStr">
        <is>
          <t>62045</t>
        </is>
      </c>
      <c r="B27" t="inlineStr">
        <is>
          <t>PB South</t>
        </is>
      </c>
      <c r="C27" t="inlineStr">
        <is>
          <t>N/A</t>
        </is>
      </c>
      <c r="D27" s="3" t="n"/>
      <c r="E27" t="n">
        <v>30</v>
      </c>
      <c r="F27" s="3">
        <f>IF(D27="","",D27+E27)</f>
        <v/>
      </c>
      <c r="G27" s="4" t="n">
        <v>7500</v>
      </c>
      <c r="H27" s="4" t="n">
        <v>0</v>
      </c>
      <c r="I27" s="4">
        <f>G27-H27</f>
        <v/>
      </c>
      <c r="J27">
        <f>IF(D27="","",TEXT(D27,"yyyy-mm"))</f>
        <v/>
      </c>
      <c r="K27" s="3" t="n"/>
      <c r="L27" s="5" t="n"/>
      <c r="M27">
        <f>IF(I27=0,"No fee",IF(D27="","Check start date",IF(D27&gt;DATE(2026,10,16),"Future start, not yet earned",IF(L27&lt;&gt;"","Paid?",IF(K27="","Not found in outbox",IF(F27&lt;DATE(2026,10,16),"Past due or paid: check bank","Sent, not yet due"))))))</f>
        <v/>
      </c>
      <c r="N27" t="inlineStr">
        <is>
          <t>Terms blank: Net 30 assumed.</t>
        </is>
      </c>
    </row>
    <row r="28">
      <c r="A28" t="inlineStr">
        <is>
          <t>62046</t>
        </is>
      </c>
      <c r="B28" t="inlineStr">
        <is>
          <t>Baker Construction</t>
        </is>
      </c>
      <c r="C28" t="inlineStr">
        <is>
          <t>Senior Superintendent</t>
        </is>
      </c>
      <c r="D28" s="3" t="n">
        <v>46216</v>
      </c>
      <c r="E28" t="n">
        <v>30</v>
      </c>
      <c r="F28" s="3">
        <f>IF(D28="","",D28+E28)</f>
        <v/>
      </c>
      <c r="G28" s="4" t="n">
        <v>55000</v>
      </c>
      <c r="H28" s="4" t="n">
        <v>0</v>
      </c>
      <c r="I28" s="4">
        <f>G28-H28</f>
        <v/>
      </c>
      <c r="J28">
        <f>IF(D28="","",TEXT(D28,"yyyy-mm"))</f>
        <v/>
      </c>
      <c r="K28" s="3" t="n">
        <v>46216</v>
      </c>
      <c r="L28" s="5" t="n"/>
      <c r="M28">
        <f>IF(I28=0,"No fee",IF(D28="","Check start date",IF(D28&gt;DATE(2026,10,16),"Future start, not yet earned",IF(L28&lt;&gt;"","Paid?",IF(K28="","Not found in outbox",IF(F28&lt;DATE(2026,10,16),"Past due or paid: check bank","Sent, not yet due"))))))</f>
        <v/>
      </c>
      <c r="N28" t="inlineStr">
        <is>
          <t>Re-sent 9/25 ("Net 30 from 8/10"): confirm payment status.</t>
        </is>
      </c>
    </row>
    <row r="29">
      <c r="A29" t="inlineStr">
        <is>
          <t>62047</t>
        </is>
      </c>
      <c r="B29" t="inlineStr">
        <is>
          <t>Carmel Partners</t>
        </is>
      </c>
      <c r="C29" t="inlineStr">
        <is>
          <t>Assistant Project Manager</t>
        </is>
      </c>
      <c r="D29" s="3" t="n">
        <v>46216</v>
      </c>
      <c r="E29" t="n">
        <v>30</v>
      </c>
      <c r="F29" s="3">
        <f>IF(D29="","",D29+E29)</f>
        <v/>
      </c>
      <c r="G29" s="4" t="n">
        <v>31500</v>
      </c>
      <c r="H29" s="4" t="n">
        <v>0</v>
      </c>
      <c r="I29" s="4">
        <f>G29-H29</f>
        <v/>
      </c>
      <c r="J29">
        <f>IF(D29="","",TEXT(D29,"yyyy-mm"))</f>
        <v/>
      </c>
      <c r="K29" s="3" t="n">
        <v>46189</v>
      </c>
      <c r="L29" s="5" t="n"/>
      <c r="M29">
        <f>IF(I29=0,"No fee",IF(D29="","Check start date",IF(D29&gt;DATE(2026,10,16),"Future start, not yet earned",IF(L29&lt;&gt;"","Paid?",IF(K29="","Not found in outbox",IF(F29&lt;DATE(2026,10,16),"Past due or paid: check bank","Sent, not yet due"))))))</f>
        <v/>
      </c>
      <c r="N29" t="inlineStr"/>
    </row>
    <row r="30">
      <c r="A30" t="inlineStr">
        <is>
          <t>62048</t>
        </is>
      </c>
      <c r="B30" t="inlineStr">
        <is>
          <t>Carmel Partners</t>
        </is>
      </c>
      <c r="C30" t="inlineStr">
        <is>
          <t>Assistant Superintendent</t>
        </is>
      </c>
      <c r="D30" s="3" t="n">
        <v>46209</v>
      </c>
      <c r="E30" t="n">
        <v>30</v>
      </c>
      <c r="F30" s="3">
        <f>IF(D30="","",D30+E30)</f>
        <v/>
      </c>
      <c r="G30" s="4" t="n">
        <v>30375</v>
      </c>
      <c r="H30" s="4" t="n">
        <v>0</v>
      </c>
      <c r="I30" s="4">
        <f>G30-H30</f>
        <v/>
      </c>
      <c r="J30">
        <f>IF(D30="","",TEXT(D30,"yyyy-mm"))</f>
        <v/>
      </c>
      <c r="K30" s="3" t="n">
        <v>46209</v>
      </c>
      <c r="L30" s="5" t="n"/>
      <c r="M30">
        <f>IF(I30=0,"No fee",IF(D30="","Check start date",IF(D30&gt;DATE(2026,10,16),"Future start, not yet earned",IF(L30&lt;&gt;"","Paid?",IF(K30="","Not found in outbox",IF(F30&lt;DATE(2026,10,16),"Past due or paid: check bank","Sent, not yet due"))))))</f>
        <v/>
      </c>
      <c r="N30" t="inlineStr"/>
    </row>
    <row r="31">
      <c r="A31" t="inlineStr">
        <is>
          <t>62049</t>
        </is>
      </c>
      <c r="B31" t="inlineStr">
        <is>
          <t>Kaweah Health</t>
        </is>
      </c>
      <c r="C31" t="inlineStr">
        <is>
          <t>?</t>
        </is>
      </c>
      <c r="D31" s="3" t="n">
        <v>46244</v>
      </c>
      <c r="E31" t="n">
        <v>30</v>
      </c>
      <c r="F31" s="3">
        <f>IF(D31="","",D31+E31)</f>
        <v/>
      </c>
      <c r="G31" s="4" t="n">
        <v>11500</v>
      </c>
      <c r="H31" s="4" t="n">
        <v>0</v>
      </c>
      <c r="I31" s="4">
        <f>G31-H31</f>
        <v/>
      </c>
      <c r="J31">
        <f>IF(D31="","",TEXT(D31,"yyyy-mm"))</f>
        <v/>
      </c>
      <c r="K31" s="3" t="n">
        <v>46237</v>
      </c>
      <c r="L31" s="5" t="n"/>
      <c r="M31">
        <f>IF(I31=0,"No fee",IF(D31="","Check start date",IF(D31&gt;DATE(2026,10,16),"Future start, not yet earned",IF(L31&lt;&gt;"","Paid?",IF(K31="","Not found in outbox",IF(F31&lt;DATE(2026,10,16),"Past due or paid: check bank","Sent, not yet due"))))))</f>
        <v/>
      </c>
      <c r="N31" t="inlineStr"/>
    </row>
    <row r="32">
      <c r="A32" t="inlineStr">
        <is>
          <t>62050</t>
        </is>
      </c>
      <c r="B32" t="inlineStr">
        <is>
          <t>Megawatt</t>
        </is>
      </c>
      <c r="C32" t="inlineStr">
        <is>
          <t>Senior Project Manager</t>
        </is>
      </c>
      <c r="D32" s="3" t="n"/>
      <c r="E32" t="n">
        <v>30</v>
      </c>
      <c r="F32" s="3">
        <f>IF(D32="","",D32+E32)</f>
        <v/>
      </c>
      <c r="G32" s="4" t="n">
        <v>0</v>
      </c>
      <c r="H32" s="4" t="n">
        <v>0</v>
      </c>
      <c r="I32" s="4">
        <f>G32-H32</f>
        <v/>
      </c>
      <c r="J32">
        <f>IF(D32="","",TEXT(D32,"yyyy-mm"))</f>
        <v/>
      </c>
      <c r="K32" s="3" t="n"/>
      <c r="L32" s="5" t="n"/>
      <c r="M32">
        <f>IF(I32=0,"No fee",IF(D32="","Check start date",IF(D32&gt;DATE(2026,10,16),"Future start, not yet earned",IF(L32&lt;&gt;"","Paid?",IF(K32="","Not found in outbox",IF(F32&lt;DATE(2026,10,16),"Past due or paid: check bank","Sent, not yet due"))))))</f>
        <v/>
      </c>
      <c r="N32" t="inlineStr">
        <is>
          <t>Start TBD, $0.</t>
        </is>
      </c>
    </row>
    <row r="33">
      <c r="A33" t="inlineStr">
        <is>
          <t>62051</t>
        </is>
      </c>
      <c r="B33" t="inlineStr">
        <is>
          <t>Hoffman</t>
        </is>
      </c>
      <c r="C33" t="inlineStr">
        <is>
          <t>Superintrendent</t>
        </is>
      </c>
      <c r="D33" s="3" t="n">
        <v>46230</v>
      </c>
      <c r="E33" t="n">
        <v>30</v>
      </c>
      <c r="F33" s="3">
        <f>IF(D33="","",D33+E33)</f>
        <v/>
      </c>
      <c r="G33" s="4" t="n">
        <v>0</v>
      </c>
      <c r="H33" s="4" t="n">
        <v>0</v>
      </c>
      <c r="I33" s="4">
        <f>G33-H33</f>
        <v/>
      </c>
      <c r="J33">
        <f>IF(D33="","",TEXT(D33,"yyyy-mm"))</f>
        <v/>
      </c>
      <c r="K33" s="3" t="n"/>
      <c r="L33" s="5" t="n"/>
      <c r="M33">
        <f>IF(I33=0,"No fee",IF(D33="","Check start date",IF(D33&gt;DATE(2026,10,16),"Future start, not yet earned",IF(L33&lt;&gt;"","Paid?",IF(K33="","Not found in outbox",IF(F33&lt;DATE(2026,10,16),"Past due or paid: check bank","Sent, not yet due"))))))</f>
        <v/>
      </c>
      <c r="N33" t="inlineStr">
        <is>
          <t>$0 fee. Terms blank: Net 30 assumed.</t>
        </is>
      </c>
    </row>
    <row r="34">
      <c r="A34" t="inlineStr">
        <is>
          <t>62502</t>
        </is>
      </c>
      <c r="B34" t="inlineStr">
        <is>
          <t>Megawatt</t>
        </is>
      </c>
      <c r="C34" t="inlineStr">
        <is>
          <t>MEP Superintendent</t>
        </is>
      </c>
      <c r="D34" s="3" t="n">
        <v>46258</v>
      </c>
      <c r="E34" t="n">
        <v>40</v>
      </c>
      <c r="F34" s="3">
        <f>IF(D34="","",D34+E34)</f>
        <v/>
      </c>
      <c r="G34" s="4" t="n">
        <v>40000</v>
      </c>
      <c r="H34" s="4" t="n">
        <v>0</v>
      </c>
      <c r="I34" s="4">
        <f>G34-H34</f>
        <v/>
      </c>
      <c r="J34">
        <f>IF(D34="","",TEXT(D34,"yyyy-mm"))</f>
        <v/>
      </c>
      <c r="K34" s="3" t="n">
        <v>46273</v>
      </c>
      <c r="L34" s="5" t="n"/>
      <c r="M34">
        <f>IF(I34=0,"No fee",IF(D34="","Check start date",IF(D34&gt;DATE(2026,10,16),"Future start, not yet earned",IF(L34&lt;&gt;"","Paid?",IF(K34="","Not found in outbox",IF(F34&lt;DATE(2026,10,16),"Past due or paid: check bank","Sent, not yet due"))))))</f>
        <v/>
      </c>
      <c r="N34" t="inlineStr">
        <is>
          <t>Doc # 62502 in outbox; Hub shows 62502 and 62053 both $40,000 MEP Superintendent, same start. Possible duplicate or two hires: ask Radar.</t>
        </is>
      </c>
    </row>
    <row r="35">
      <c r="A35" t="inlineStr">
        <is>
          <t>62053</t>
        </is>
      </c>
      <c r="B35" t="inlineStr">
        <is>
          <t>Megawatt</t>
        </is>
      </c>
      <c r="C35" t="inlineStr">
        <is>
          <t>MEP Superintendent</t>
        </is>
      </c>
      <c r="D35" s="3" t="n">
        <v>46258</v>
      </c>
      <c r="E35" t="n">
        <v>40</v>
      </c>
      <c r="F35" s="3">
        <f>IF(D35="","",D35+E35)</f>
        <v/>
      </c>
      <c r="G35" s="4" t="n">
        <v>40000</v>
      </c>
      <c r="H35" s="4" t="n">
        <v>0</v>
      </c>
      <c r="I35" s="4">
        <f>G35-H35</f>
        <v/>
      </c>
      <c r="J35">
        <f>IF(D35="","",TEXT(D35,"yyyy-mm"))</f>
        <v/>
      </c>
      <c r="K35" s="3" t="n"/>
      <c r="L35" s="5" t="n"/>
      <c r="M35">
        <f>IF(I35=0,"No fee",IF(D35="","Check start date",IF(D35&gt;DATE(2026,10,16),"Future start, not yet earned",IF(L35&lt;&gt;"","Paid?",IF(K35="","Not found in outbox",IF(F35&lt;DATE(2026,10,16),"Past due or paid: check bank","Sent, not yet due"))))))</f>
        <v/>
      </c>
      <c r="N35" t="inlineStr">
        <is>
          <t>Same client, role, amount and start as 62502: confirm two separate placements.</t>
        </is>
      </c>
    </row>
    <row r="36">
      <c r="A36" t="inlineStr">
        <is>
          <t>62054</t>
        </is>
      </c>
      <c r="B36" t="inlineStr">
        <is>
          <t>Megawatt</t>
        </is>
      </c>
      <c r="C36" t="inlineStr">
        <is>
          <t>General Superintendent</t>
        </is>
      </c>
      <c r="D36" s="3" t="n"/>
      <c r="E36" t="n">
        <v>40</v>
      </c>
      <c r="F36" s="3">
        <f>IF(D36="","",D36+E36)</f>
        <v/>
      </c>
      <c r="G36" s="4" t="n">
        <v>45000</v>
      </c>
      <c r="H36" s="4" t="n">
        <v>0</v>
      </c>
      <c r="I36" s="4">
        <f>G36-H36</f>
        <v/>
      </c>
      <c r="J36">
        <f>IF(D36="","",TEXT(D36,"yyyy-mm"))</f>
        <v/>
      </c>
      <c r="K36" s="3" t="n"/>
      <c r="L36" s="5" t="n"/>
      <c r="M36">
        <f>IF(I36=0,"No fee",IF(D36="","Check start date",IF(D36&gt;DATE(2026,10,16),"Future start, not yet earned",IF(L36&lt;&gt;"","Paid?",IF(K36="","Not found in outbox",IF(F36&lt;DATE(2026,10,16),"Past due or paid: check bank","Sent, not yet due"))))))</f>
        <v/>
      </c>
      <c r="N36" t="inlineStr">
        <is>
          <t>Start is a note ("October"), not a date. $45,000 not yet invoiced.</t>
        </is>
      </c>
    </row>
    <row r="37">
      <c r="A37" t="inlineStr">
        <is>
          <t>62055</t>
        </is>
      </c>
      <c r="B37" t="inlineStr">
        <is>
          <t>PB South</t>
        </is>
      </c>
      <c r="C37" t="inlineStr">
        <is>
          <t>General Superintendent</t>
        </is>
      </c>
      <c r="D37" s="3" t="n">
        <v>46279</v>
      </c>
      <c r="E37" t="n">
        <v>90</v>
      </c>
      <c r="F37" s="3">
        <f>IF(D37="","",D37+E37)</f>
        <v/>
      </c>
      <c r="G37" s="4" t="n">
        <v>0</v>
      </c>
      <c r="H37" s="4" t="n">
        <v>0</v>
      </c>
      <c r="I37" s="4">
        <f>G37-H37</f>
        <v/>
      </c>
      <c r="J37">
        <f>IF(D37="","",TEXT(D37,"yyyy-mm"))</f>
        <v/>
      </c>
      <c r="K37" s="3" t="n"/>
      <c r="L37" s="5" t="n"/>
      <c r="M37">
        <f>IF(I37=0,"No fee",IF(D37="","Check start date",IF(D37&gt;DATE(2026,10,16),"Future start, not yet earned",IF(L37&lt;&gt;"","Paid?",IF(K37="","Not found in outbox",IF(F37&lt;DATE(2026,10,16),"Past due or paid: check bank","Sent, not yet due"))))))</f>
        <v/>
      </c>
      <c r="N37" t="inlineStr">
        <is>
          <t>No fee entered. Terms "90?" unconfirmed.</t>
        </is>
      </c>
    </row>
    <row r="38">
      <c r="A38" t="inlineStr">
        <is>
          <t>62056</t>
        </is>
      </c>
      <c r="B38" t="inlineStr">
        <is>
          <t>PB South</t>
        </is>
      </c>
      <c r="C38" t="inlineStr">
        <is>
          <t>Superintendent</t>
        </is>
      </c>
      <c r="D38" s="3" t="n">
        <v>46267</v>
      </c>
      <c r="E38" t="n">
        <v>90</v>
      </c>
      <c r="F38" s="3">
        <f>IF(D38="","",D38+E38)</f>
        <v/>
      </c>
      <c r="G38" s="4" t="n">
        <v>29700</v>
      </c>
      <c r="H38" s="4" t="n">
        <v>0</v>
      </c>
      <c r="I38" s="4">
        <f>G38-H38</f>
        <v/>
      </c>
      <c r="J38">
        <f>IF(D38="","",TEXT(D38,"yyyy-mm"))</f>
        <v/>
      </c>
      <c r="K38" s="3" t="n">
        <v>46304</v>
      </c>
      <c r="L38" s="5" t="n"/>
      <c r="M38">
        <f>IF(I38=0,"No fee",IF(D38="","Check start date",IF(D38&gt;DATE(2026,10,16),"Future start, not yet earned",IF(L38&lt;&gt;"","Paid?",IF(K38="","Not found in outbox",IF(F38&lt;DATE(2026,10,16),"Past due or paid: check bank","Sent, not yet due"))))))</f>
        <v/>
      </c>
      <c r="N38" t="inlineStr">
        <is>
          <t>Terms "90?" unconfirmed.</t>
        </is>
      </c>
    </row>
    <row r="39">
      <c r="A39" t="inlineStr">
        <is>
          <t>62057</t>
        </is>
      </c>
      <c r="B39" t="inlineStr">
        <is>
          <t>PB South</t>
        </is>
      </c>
      <c r="C39" t="inlineStr">
        <is>
          <t>Assistant Superintendent</t>
        </is>
      </c>
      <c r="D39" s="3" t="n">
        <v>46289</v>
      </c>
      <c r="E39" t="n">
        <v>90</v>
      </c>
      <c r="F39" s="3">
        <f>IF(D39="","",D39+E39)</f>
        <v/>
      </c>
      <c r="G39" s="4" t="n">
        <v>6750</v>
      </c>
      <c r="H39" s="4" t="n">
        <v>0</v>
      </c>
      <c r="I39" s="4">
        <f>G39-H39</f>
        <v/>
      </c>
      <c r="J39">
        <f>IF(D39="","",TEXT(D39,"yyyy-mm"))</f>
        <v/>
      </c>
      <c r="K39" s="3" t="n">
        <v>46302</v>
      </c>
      <c r="L39" s="5" t="n"/>
      <c r="M39">
        <f>IF(I39=0,"No fee",IF(D39="","Check start date",IF(D39&gt;DATE(2026,10,16),"Future start, not yet earned",IF(L39&lt;&gt;"","Paid?",IF(K39="","Not found in outbox",IF(F39&lt;DATE(2026,10,16),"Past due or paid: check bank","Sent, not yet due"))))))</f>
        <v/>
      </c>
      <c r="N39" t="inlineStr">
        <is>
          <t>Terms "90?" unconfirmed.</t>
        </is>
      </c>
    </row>
    <row r="40">
      <c r="A40" t="inlineStr">
        <is>
          <t>62058</t>
        </is>
      </c>
      <c r="B40" t="inlineStr">
        <is>
          <t>PB South</t>
        </is>
      </c>
      <c r="C40" t="inlineStr">
        <is>
          <t>Project Manager</t>
        </is>
      </c>
      <c r="D40" s="3" t="n"/>
      <c r="E40" t="n">
        <v>90</v>
      </c>
      <c r="F40" s="3">
        <f>IF(D40="","",D40+E40)</f>
        <v/>
      </c>
      <c r="G40" s="4" t="n">
        <v>0</v>
      </c>
      <c r="H40" s="4" t="n">
        <v>0</v>
      </c>
      <c r="I40" s="4">
        <f>G40-H40</f>
        <v/>
      </c>
      <c r="J40">
        <f>IF(D40="","",TEXT(D40,"yyyy-mm"))</f>
        <v/>
      </c>
      <c r="K40" s="3" t="n"/>
      <c r="L40" s="5" t="n"/>
      <c r="M40">
        <f>IF(I40=0,"No fee",IF(D40="","Check start date",IF(D40&gt;DATE(2026,10,16),"Future start, not yet earned",IF(L40&lt;&gt;"","Paid?",IF(K40="","Not found in outbox",IF(F40&lt;DATE(2026,10,16),"Past due or paid: check bank","Sent, not yet due"))))))</f>
        <v/>
      </c>
      <c r="N40" t="inlineStr">
        <is>
          <t>Start "December", no fee entered. Terms "90?" unconfirmed.</t>
        </is>
      </c>
    </row>
    <row r="41">
      <c r="A41" t="inlineStr">
        <is>
          <t>62059</t>
        </is>
      </c>
      <c r="B41" t="inlineStr">
        <is>
          <t>Baker Construction</t>
        </is>
      </c>
      <c r="C41" t="inlineStr">
        <is>
          <t>QC Manager</t>
        </is>
      </c>
      <c r="D41" s="3" t="n">
        <v>46279</v>
      </c>
      <c r="E41" t="n">
        <v>30</v>
      </c>
      <c r="F41" s="3">
        <f>IF(D41="","",D41+E41)</f>
        <v/>
      </c>
      <c r="G41" s="4" t="n">
        <v>35200</v>
      </c>
      <c r="H41" s="4" t="n">
        <v>0</v>
      </c>
      <c r="I41" s="4">
        <f>G41-H41</f>
        <v/>
      </c>
      <c r="J41">
        <f>IF(D41="","",TEXT(D41,"yyyy-mm"))</f>
        <v/>
      </c>
      <c r="K41" s="3" t="n">
        <v>46281</v>
      </c>
      <c r="L41" s="5" t="n"/>
      <c r="M41">
        <f>IF(I41=0,"No fee",IF(D41="","Check start date",IF(D41&gt;DATE(2026,10,16),"Future start, not yet earned",IF(L41&lt;&gt;"","Paid?",IF(K41="","Not found in outbox",IF(F41&lt;DATE(2026,10,16),"Past due or paid: check bank","Sent, not yet due"))))))</f>
        <v/>
      </c>
      <c r="N41" t="inlineStr"/>
    </row>
    <row r="42">
      <c r="A42" t="inlineStr">
        <is>
          <t>62060</t>
        </is>
      </c>
      <c r="B42" t="inlineStr">
        <is>
          <t>VMG</t>
        </is>
      </c>
      <c r="C42" t="inlineStr">
        <is>
          <t>Sr. Superintendent</t>
        </is>
      </c>
      <c r="D42" s="3" t="n">
        <v>46279</v>
      </c>
      <c r="E42" t="n">
        <v>30</v>
      </c>
      <c r="F42" s="3">
        <f>IF(D42="","",D42+E42)</f>
        <v/>
      </c>
      <c r="G42" s="4" t="n">
        <v>37000</v>
      </c>
      <c r="H42" s="4" t="n">
        <v>0</v>
      </c>
      <c r="I42" s="4">
        <f>G42-H42</f>
        <v/>
      </c>
      <c r="J42">
        <f>IF(D42="","",TEXT(D42,"yyyy-mm"))</f>
        <v/>
      </c>
      <c r="K42" s="3" t="n">
        <v>46281</v>
      </c>
      <c r="L42" s="5" t="n"/>
      <c r="M42">
        <f>IF(I42=0,"No fee",IF(D42="","Check start date",IF(D42&gt;DATE(2026,10,16),"Future start, not yet earned",IF(L42&lt;&gt;"","Paid?",IF(K42="","Not found in outbox",IF(F42&lt;DATE(2026,10,16),"Past due or paid: check bank","Sent, not yet due"))))))</f>
        <v/>
      </c>
      <c r="N42" t="inlineStr"/>
    </row>
    <row r="43">
      <c r="A43" t="inlineStr">
        <is>
          <t>62061</t>
        </is>
      </c>
      <c r="B43" t="inlineStr">
        <is>
          <t>Pence</t>
        </is>
      </c>
      <c r="C43" t="inlineStr">
        <is>
          <t>Superintendent</t>
        </is>
      </c>
      <c r="D43" s="3" t="n">
        <v>46279</v>
      </c>
      <c r="E43" t="n">
        <v>30</v>
      </c>
      <c r="F43" s="3">
        <f>IF(D43="","",D43+E43)</f>
        <v/>
      </c>
      <c r="G43" s="4" t="n">
        <v>34000</v>
      </c>
      <c r="H43" s="4" t="n">
        <v>15000</v>
      </c>
      <c r="I43" s="4">
        <f>G43-H43</f>
        <v/>
      </c>
      <c r="J43">
        <f>IF(D43="","",TEXT(D43,"yyyy-mm"))</f>
        <v/>
      </c>
      <c r="K43" s="3" t="n">
        <v>46307</v>
      </c>
      <c r="L43" s="5" t="n"/>
      <c r="M43">
        <f>IF(I43=0,"No fee",IF(D43="","Check start date",IF(D43&gt;DATE(2026,10,16),"Future start, not yet earned",IF(L43&lt;&gt;"","Paid?",IF(K43="","Not found in outbox",IF(F43&lt;DATE(2026,10,16),"Past due or paid: check bank","Sent, not yet due"))))))</f>
        <v/>
      </c>
      <c r="N43" t="inlineStr">
        <is>
          <t>Terms blank: Net 30 assumed.</t>
        </is>
      </c>
    </row>
    <row r="44">
      <c r="A44" t="inlineStr">
        <is>
          <t>62062</t>
        </is>
      </c>
      <c r="B44" t="inlineStr">
        <is>
          <t>Swinerton - DFW</t>
        </is>
      </c>
      <c r="C44" t="inlineStr">
        <is>
          <t>Superintendent</t>
        </is>
      </c>
      <c r="D44" s="3" t="n">
        <v>46324</v>
      </c>
      <c r="E44" t="n">
        <v>30</v>
      </c>
      <c r="F44" s="3">
        <f>IF(D44="","",D44+E44)</f>
        <v/>
      </c>
      <c r="G44" s="4" t="n">
        <v>33000</v>
      </c>
      <c r="H44" s="4" t="n">
        <v>0</v>
      </c>
      <c r="I44" s="4">
        <f>G44-H44</f>
        <v/>
      </c>
      <c r="J44">
        <f>IF(D44="","",TEXT(D44,"yyyy-mm"))</f>
        <v/>
      </c>
      <c r="K44" s="3" t="n"/>
      <c r="L44" s="5" t="n"/>
      <c r="M44">
        <f>IF(I44=0,"No fee",IF(D44="","Check start date",IF(D44&gt;DATE(2026,10,16),"Future start, not yet earned",IF(L44&lt;&gt;"","Paid?",IF(K44="","Not found in outbox",IF(F44&lt;DATE(2026,10,16),"Past due or paid: check bank","Sent, not yet due"))))))</f>
        <v/>
      </c>
      <c r="N44" t="inlineStr"/>
    </row>
    <row r="45">
      <c r="A45" t="inlineStr">
        <is>
          <t>62063</t>
        </is>
      </c>
      <c r="B45" t="inlineStr">
        <is>
          <t>PB South</t>
        </is>
      </c>
      <c r="C45" t="inlineStr">
        <is>
          <t>N/A</t>
        </is>
      </c>
      <c r="D45" s="3" t="n">
        <v>46296</v>
      </c>
      <c r="E45" t="n">
        <v>15</v>
      </c>
      <c r="F45" s="3">
        <f>IF(D45="","",D45+E45)</f>
        <v/>
      </c>
      <c r="G45" s="4" t="n">
        <v>7500</v>
      </c>
      <c r="H45" s="4" t="n">
        <v>0</v>
      </c>
      <c r="I45" s="4">
        <f>G45-H45</f>
        <v/>
      </c>
      <c r="J45">
        <f>IF(D45="","",TEXT(D45,"yyyy-mm"))</f>
        <v/>
      </c>
      <c r="K45" s="3" t="n"/>
      <c r="L45" s="5" t="n"/>
      <c r="M45">
        <f>IF(I45=0,"No fee",IF(D45="","Check start date",IF(D45&gt;DATE(2026,10,16),"Future start, not yet earned",IF(L45&lt;&gt;"","Paid?",IF(K45="","Not found in outbox",IF(F45&lt;DATE(2026,10,16),"Past due or paid: check bank","Sent, not yet due"))))))</f>
        <v/>
      </c>
      <c r="N45" t="inlineStr"/>
    </row>
    <row r="46">
      <c r="A46" t="inlineStr">
        <is>
          <t>62064</t>
        </is>
      </c>
      <c r="B46" t="inlineStr">
        <is>
          <t>Triton Construction</t>
        </is>
      </c>
      <c r="C46" t="inlineStr">
        <is>
          <t>N/A</t>
        </is>
      </c>
      <c r="D46" s="3" t="n">
        <v>46296</v>
      </c>
      <c r="E46" t="n">
        <v>15</v>
      </c>
      <c r="F46" s="3">
        <f>IF(D46="","",D46+E46)</f>
        <v/>
      </c>
      <c r="G46" s="4" t="n">
        <v>5000</v>
      </c>
      <c r="H46" s="4" t="n">
        <v>0</v>
      </c>
      <c r="I46" s="4">
        <f>G46-H46</f>
        <v/>
      </c>
      <c r="J46">
        <f>IF(D46="","",TEXT(D46,"yyyy-mm"))</f>
        <v/>
      </c>
      <c r="K46" s="3" t="n"/>
      <c r="L46" s="5" t="n"/>
      <c r="M46">
        <f>IF(I46=0,"No fee",IF(D46="","Check start date",IF(D46&gt;DATE(2026,10,16),"Future start, not yet earned",IF(L46&lt;&gt;"","Paid?",IF(K46="","Not found in outbox",IF(F46&lt;DATE(2026,10,16),"Past due or paid: check bank","Sent, not yet due"))))))</f>
        <v/>
      </c>
      <c r="N46" t="inlineStr"/>
    </row>
    <row r="47">
      <c r="A47" t="inlineStr">
        <is>
          <t>62065</t>
        </is>
      </c>
      <c r="B47" t="inlineStr">
        <is>
          <t>PB South</t>
        </is>
      </c>
      <c r="C47" t="inlineStr">
        <is>
          <t>MEP Superintendent</t>
        </is>
      </c>
      <c r="D47" s="3" t="n">
        <v>46329</v>
      </c>
      <c r="E47" t="n">
        <v>45</v>
      </c>
      <c r="F47" s="3">
        <f>IF(D47="","",D47+E47)</f>
        <v/>
      </c>
      <c r="G47" s="4" t="n">
        <v>33300</v>
      </c>
      <c r="H47" s="4" t="n">
        <v>0</v>
      </c>
      <c r="I47" s="4">
        <f>G47-H47</f>
        <v/>
      </c>
      <c r="J47">
        <f>IF(D47="","",TEXT(D47,"yyyy-mm"))</f>
        <v/>
      </c>
      <c r="K47" s="3" t="n"/>
      <c r="L47" s="5" t="n"/>
      <c r="M47">
        <f>IF(I47=0,"No fee",IF(D47="","Check start date",IF(D47&gt;DATE(2026,10,16),"Future start, not yet earned",IF(L47&lt;&gt;"","Paid?",IF(K47="","Not found in outbox",IF(F47&lt;DATE(2026,10,16),"Past due or paid: check bank","Sent, not yet due"))))))</f>
        <v/>
      </c>
      <c r="N47" t="inlineStr"/>
    </row>
    <row r="48">
      <c r="A48" t="inlineStr">
        <is>
          <t>62066</t>
        </is>
      </c>
      <c r="B48" t="inlineStr">
        <is>
          <t>PB South</t>
        </is>
      </c>
      <c r="C48" t="inlineStr">
        <is>
          <t>Superintendent</t>
        </is>
      </c>
      <c r="D48" s="3" t="n">
        <v>46328</v>
      </c>
      <c r="E48" t="n">
        <v>45</v>
      </c>
      <c r="F48" s="3">
        <f>IF(D48="","",D48+E48)</f>
        <v/>
      </c>
      <c r="G48" s="4" t="n">
        <v>33300</v>
      </c>
      <c r="H48" s="4" t="n">
        <v>0</v>
      </c>
      <c r="I48" s="4">
        <f>G48-H48</f>
        <v/>
      </c>
      <c r="J48">
        <f>IF(D48="","",TEXT(D48,"yyyy-mm"))</f>
        <v/>
      </c>
      <c r="K48" s="3" t="n"/>
      <c r="L48" s="5" t="n"/>
      <c r="M48">
        <f>IF(I48=0,"No fee",IF(D48="","Check start date",IF(D48&gt;DATE(2026,10,16),"Future start, not yet earned",IF(L48&lt;&gt;"","Paid?",IF(K48="","Not found in outbox",IF(F48&lt;DATE(2026,10,16),"Past due or paid: check bank","Sent, not yet due"))))))</f>
        <v/>
      </c>
      <c r="N48" t="inlineStr"/>
    </row>
    <row r="49">
      <c r="B49" s="1" t="inlineStr">
        <is>
          <t>Total billed (Hub basis)</t>
        </is>
      </c>
      <c r="I49" s="4">
        <f>SUM(I2:I48)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</cols>
  <sheetData>
    <row r="1">
      <c r="A1" s="2" t="inlineStr">
        <is>
          <t>Month of start</t>
        </is>
      </c>
      <c r="B1" s="2" t="inlineStr">
        <is>
          <t>Billed (Hub)</t>
        </is>
      </c>
      <c r="C1" s="2" t="inlineStr">
        <is>
          <t>Invoices</t>
        </is>
      </c>
      <c r="D1" s="2" t="inlineStr">
        <is>
          <t>Cumulative</t>
        </is>
      </c>
    </row>
    <row r="2">
      <c r="A2" t="inlineStr">
        <is>
          <t>2026-01</t>
        </is>
      </c>
      <c r="B2" s="4">
        <f>SUMIFS('Invoice Ledger'!I:I,'Invoice Ledger'!J:J,A2)</f>
        <v/>
      </c>
      <c r="C2">
        <f>COUNTIFS('Invoice Ledger'!J:J,A2,'Invoice Ledger'!I:I,"&gt;0")</f>
        <v/>
      </c>
      <c r="D2" s="4">
        <f>SUM($B$2:B2)</f>
        <v/>
      </c>
    </row>
    <row r="3">
      <c r="A3" t="inlineStr">
        <is>
          <t>2026-02</t>
        </is>
      </c>
      <c r="B3" s="4">
        <f>SUMIFS('Invoice Ledger'!I:I,'Invoice Ledger'!J:J,A3)</f>
        <v/>
      </c>
      <c r="C3">
        <f>COUNTIFS('Invoice Ledger'!J:J,A3,'Invoice Ledger'!I:I,"&gt;0")</f>
        <v/>
      </c>
      <c r="D3" s="4">
        <f>SUM($B$2:B3)</f>
        <v/>
      </c>
    </row>
    <row r="4">
      <c r="A4" t="inlineStr">
        <is>
          <t>2026-03</t>
        </is>
      </c>
      <c r="B4" s="4">
        <f>SUMIFS('Invoice Ledger'!I:I,'Invoice Ledger'!J:J,A4)</f>
        <v/>
      </c>
      <c r="C4">
        <f>COUNTIFS('Invoice Ledger'!J:J,A4,'Invoice Ledger'!I:I,"&gt;0")</f>
        <v/>
      </c>
      <c r="D4" s="4">
        <f>SUM($B$2:B4)</f>
        <v/>
      </c>
    </row>
    <row r="5">
      <c r="A5" t="inlineStr">
        <is>
          <t>2026-04</t>
        </is>
      </c>
      <c r="B5" s="4">
        <f>SUMIFS('Invoice Ledger'!I:I,'Invoice Ledger'!J:J,A5)</f>
        <v/>
      </c>
      <c r="C5">
        <f>COUNTIFS('Invoice Ledger'!J:J,A5,'Invoice Ledger'!I:I,"&gt;0")</f>
        <v/>
      </c>
      <c r="D5" s="4">
        <f>SUM($B$2:B5)</f>
        <v/>
      </c>
    </row>
    <row r="6">
      <c r="A6" t="inlineStr">
        <is>
          <t>2026-05</t>
        </is>
      </c>
      <c r="B6" s="4">
        <f>SUMIFS('Invoice Ledger'!I:I,'Invoice Ledger'!J:J,A6)</f>
        <v/>
      </c>
      <c r="C6">
        <f>COUNTIFS('Invoice Ledger'!J:J,A6,'Invoice Ledger'!I:I,"&gt;0")</f>
        <v/>
      </c>
      <c r="D6" s="4">
        <f>SUM($B$2:B6)</f>
        <v/>
      </c>
    </row>
    <row r="7">
      <c r="A7" t="inlineStr">
        <is>
          <t>2026-06</t>
        </is>
      </c>
      <c r="B7" s="4">
        <f>SUMIFS('Invoice Ledger'!I:I,'Invoice Ledger'!J:J,A7)</f>
        <v/>
      </c>
      <c r="C7">
        <f>COUNTIFS('Invoice Ledger'!J:J,A7,'Invoice Ledger'!I:I,"&gt;0")</f>
        <v/>
      </c>
      <c r="D7" s="4">
        <f>SUM($B$2:B7)</f>
        <v/>
      </c>
    </row>
    <row r="8">
      <c r="A8" t="inlineStr">
        <is>
          <t>2026-07</t>
        </is>
      </c>
      <c r="B8" s="4">
        <f>SUMIFS('Invoice Ledger'!I:I,'Invoice Ledger'!J:J,A8)</f>
        <v/>
      </c>
      <c r="C8">
        <f>COUNTIFS('Invoice Ledger'!J:J,A8,'Invoice Ledger'!I:I,"&gt;0")</f>
        <v/>
      </c>
      <c r="D8" s="4">
        <f>SUM($B$2:B8)</f>
        <v/>
      </c>
    </row>
    <row r="9">
      <c r="A9" t="inlineStr">
        <is>
          <t>2026-08</t>
        </is>
      </c>
      <c r="B9" s="4">
        <f>SUMIFS('Invoice Ledger'!I:I,'Invoice Ledger'!J:J,A9)</f>
        <v/>
      </c>
      <c r="C9">
        <f>COUNTIFS('Invoice Ledger'!J:J,A9,'Invoice Ledger'!I:I,"&gt;0")</f>
        <v/>
      </c>
      <c r="D9" s="4">
        <f>SUM($B$2:B9)</f>
        <v/>
      </c>
    </row>
    <row r="10">
      <c r="A10" t="inlineStr">
        <is>
          <t>2026-09</t>
        </is>
      </c>
      <c r="B10" s="4">
        <f>SUMIFS('Invoice Ledger'!I:I,'Invoice Ledger'!J:J,A10)</f>
        <v/>
      </c>
      <c r="C10">
        <f>COUNTIFS('Invoice Ledger'!J:J,A10,'Invoice Ledger'!I:I,"&gt;0")</f>
        <v/>
      </c>
      <c r="D10" s="4">
        <f>SUM($B$2:B10)</f>
        <v/>
      </c>
    </row>
    <row r="11">
      <c r="A11" t="inlineStr">
        <is>
          <t>2026-10</t>
        </is>
      </c>
      <c r="B11" s="4">
        <f>SUMIFS('Invoice Ledger'!I:I,'Invoice Ledger'!J:J,A11)</f>
        <v/>
      </c>
      <c r="C11">
        <f>COUNTIFS('Invoice Ledger'!J:J,A11,'Invoice Ledger'!I:I,"&gt;0")</f>
        <v/>
      </c>
      <c r="D11" s="4">
        <f>SUM($B$2:B11)</f>
        <v/>
      </c>
    </row>
    <row r="12">
      <c r="A12" t="inlineStr">
        <is>
          <t>2026-11</t>
        </is>
      </c>
      <c r="B12" s="4">
        <f>SUMIFS('Invoice Ledger'!I:I,'Invoice Ledger'!J:J,A12)</f>
        <v/>
      </c>
      <c r="C12">
        <f>COUNTIFS('Invoice Ledger'!J:J,A12,'Invoice Ledger'!I:I,"&gt;0")</f>
        <v/>
      </c>
      <c r="D12" s="4">
        <f>SUM($B$2:B12)</f>
        <v/>
      </c>
    </row>
    <row r="13">
      <c r="A13" t="inlineStr">
        <is>
          <t>2026-12</t>
        </is>
      </c>
      <c r="B13" s="4">
        <f>SUMIFS('Invoice Ledger'!I:I,'Invoice Ledger'!J:J,A13)</f>
        <v/>
      </c>
      <c r="C13">
        <f>COUNTIFS('Invoice Ledger'!J:J,A13,'Invoice Ledger'!I:I,"&gt;0")</f>
        <v/>
      </c>
      <c r="D13" s="4">
        <f>SUM($B$2:B13)</f>
        <v/>
      </c>
    </row>
    <row r="14">
      <c r="A14" t="inlineStr">
        <is>
          <t>No start date</t>
        </is>
      </c>
      <c r="B14" s="4">
        <f>'Invoice Ledger'!I49-SUM(B2:B13)</f>
        <v/>
      </c>
    </row>
    <row r="15">
      <c r="A15" s="1" t="inlineStr">
        <is>
          <t>Total</t>
        </is>
      </c>
      <c r="B15" s="4">
        <f>SUM(B2:B14)</f>
        <v/>
      </c>
    </row>
    <row r="16">
      <c r="A16" t="inlineStr">
        <is>
          <t>Earned to date (start on or before 10/16)</t>
        </is>
      </c>
      <c r="B16" s="4">
        <f>SUMIFS('Invoice Ledger'!I:I,'Invoice Ledger'!D:D,"&lt;="&amp;DATE(2026,10,16))</f>
        <v/>
      </c>
    </row>
    <row r="17">
      <c r="A17" t="inlineStr">
        <is>
          <t>Future starts</t>
        </is>
      </c>
      <c r="B17" s="4">
        <f>SUMIFS('Invoice Ledger'!I:I,'Invoice Ledger'!D:D,"&gt;"&amp;DATE(2026,10,16))</f>
        <v/>
      </c>
    </row>
    <row r="19">
      <c r="A19" s="2" t="inlineStr">
        <is>
          <t>Client</t>
        </is>
      </c>
      <c r="B19" s="2" t="inlineStr">
        <is>
          <t>Billed (Hub)</t>
        </is>
      </c>
      <c r="C19" s="2" t="inlineStr">
        <is>
          <t>Invoices</t>
        </is>
      </c>
    </row>
    <row r="20">
      <c r="A20" t="inlineStr">
        <is>
          <t>Baker Concrete</t>
        </is>
      </c>
      <c r="B20" s="4">
        <f>SUMIFS('Invoice Ledger'!I:I,'Invoice Ledger'!B:B,A20)</f>
        <v/>
      </c>
      <c r="C20">
        <f>COUNTIFS('Invoice Ledger'!B:B,A20,'Invoice Ledger'!I:I,"&gt;0")</f>
        <v/>
      </c>
    </row>
    <row r="21">
      <c r="A21" t="inlineStr">
        <is>
          <t>Baker Construction</t>
        </is>
      </c>
      <c r="B21" s="4">
        <f>SUMIFS('Invoice Ledger'!I:I,'Invoice Ledger'!B:B,A21)</f>
        <v/>
      </c>
      <c r="C21">
        <f>COUNTIFS('Invoice Ledger'!B:B,A21,'Invoice Ledger'!I:I,"&gt;0")</f>
        <v/>
      </c>
    </row>
    <row r="22">
      <c r="A22" t="inlineStr">
        <is>
          <t>Beck Group</t>
        </is>
      </c>
      <c r="B22" s="4">
        <f>SUMIFS('Invoice Ledger'!I:I,'Invoice Ledger'!B:B,A22)</f>
        <v/>
      </c>
      <c r="C22">
        <f>COUNTIFS('Invoice Ledger'!B:B,A22,'Invoice Ledger'!I:I,"&gt;0")</f>
        <v/>
      </c>
    </row>
    <row r="23">
      <c r="A23" t="inlineStr">
        <is>
          <t>Carmel Partners</t>
        </is>
      </c>
      <c r="B23" s="4">
        <f>SUMIFS('Invoice Ledger'!I:I,'Invoice Ledger'!B:B,A23)</f>
        <v/>
      </c>
      <c r="C23">
        <f>COUNTIFS('Invoice Ledger'!B:B,A23,'Invoice Ledger'!I:I,"&gt;0")</f>
        <v/>
      </c>
    </row>
    <row r="24">
      <c r="A24" t="inlineStr">
        <is>
          <t>Hoffman</t>
        </is>
      </c>
      <c r="B24" s="4">
        <f>SUMIFS('Invoice Ledger'!I:I,'Invoice Ledger'!B:B,A24)</f>
        <v/>
      </c>
      <c r="C24">
        <f>COUNTIFS('Invoice Ledger'!B:B,A24,'Invoice Ledger'!I:I,"&gt;0")</f>
        <v/>
      </c>
    </row>
    <row r="25">
      <c r="A25" t="inlineStr">
        <is>
          <t>Jackson Contracting</t>
        </is>
      </c>
      <c r="B25" s="4">
        <f>SUMIFS('Invoice Ledger'!I:I,'Invoice Ledger'!B:B,A25)</f>
        <v/>
      </c>
      <c r="C25">
        <f>COUNTIFS('Invoice Ledger'!B:B,A25,'Invoice Ledger'!I:I,"&gt;0")</f>
        <v/>
      </c>
    </row>
    <row r="26">
      <c r="A26" t="inlineStr">
        <is>
          <t>Kaweah Health</t>
        </is>
      </c>
      <c r="B26" s="4">
        <f>SUMIFS('Invoice Ledger'!I:I,'Invoice Ledger'!B:B,A26)</f>
        <v/>
      </c>
      <c r="C26">
        <f>COUNTIFS('Invoice Ledger'!B:B,A26,'Invoice Ledger'!I:I,"&gt;0")</f>
        <v/>
      </c>
    </row>
    <row r="27">
      <c r="A27" t="inlineStr">
        <is>
          <t>Megawatt</t>
        </is>
      </c>
      <c r="B27" s="4">
        <f>SUMIFS('Invoice Ledger'!I:I,'Invoice Ledger'!B:B,A27)</f>
        <v/>
      </c>
      <c r="C27">
        <f>COUNTIFS('Invoice Ledger'!B:B,A27,'Invoice Ledger'!I:I,"&gt;0")</f>
        <v/>
      </c>
    </row>
    <row r="28">
      <c r="A28" t="inlineStr">
        <is>
          <t>Moss Construction</t>
        </is>
      </c>
      <c r="B28" s="4">
        <f>SUMIFS('Invoice Ledger'!I:I,'Invoice Ledger'!B:B,A28)</f>
        <v/>
      </c>
      <c r="C28">
        <f>COUNTIFS('Invoice Ledger'!B:B,A28,'Invoice Ledger'!I:I,"&gt;0")</f>
        <v/>
      </c>
    </row>
    <row r="29">
      <c r="A29" t="inlineStr">
        <is>
          <t>PB South</t>
        </is>
      </c>
      <c r="B29" s="4">
        <f>SUMIFS('Invoice Ledger'!I:I,'Invoice Ledger'!B:B,A29)</f>
        <v/>
      </c>
      <c r="C29">
        <f>COUNTIFS('Invoice Ledger'!B:B,A29,'Invoice Ledger'!I:I,"&gt;0")</f>
        <v/>
      </c>
    </row>
    <row r="30">
      <c r="A30" t="inlineStr">
        <is>
          <t>PENTA</t>
        </is>
      </c>
      <c r="B30" s="4">
        <f>SUMIFS('Invoice Ledger'!I:I,'Invoice Ledger'!B:B,A30)</f>
        <v/>
      </c>
      <c r="C30">
        <f>COUNTIFS('Invoice Ledger'!B:B,A30,'Invoice Ledger'!I:I,"&gt;0")</f>
        <v/>
      </c>
    </row>
    <row r="31">
      <c r="A31" t="inlineStr">
        <is>
          <t>Pence</t>
        </is>
      </c>
      <c r="B31" s="4">
        <f>SUMIFS('Invoice Ledger'!I:I,'Invoice Ledger'!B:B,A31)</f>
        <v/>
      </c>
      <c r="C31">
        <f>COUNTIFS('Invoice Ledger'!B:B,A31,'Invoice Ledger'!I:I,"&gt;0")</f>
        <v/>
      </c>
    </row>
    <row r="32">
      <c r="A32" t="inlineStr">
        <is>
          <t>Swinerton - DFW</t>
        </is>
      </c>
      <c r="B32" s="4">
        <f>SUMIFS('Invoice Ledger'!I:I,'Invoice Ledger'!B:B,A32)</f>
        <v/>
      </c>
      <c r="C32">
        <f>COUNTIFS('Invoice Ledger'!B:B,A32,'Invoice Ledger'!I:I,"&gt;0")</f>
        <v/>
      </c>
    </row>
    <row r="33">
      <c r="A33" t="inlineStr">
        <is>
          <t>Triton Construction</t>
        </is>
      </c>
      <c r="B33" s="4">
        <f>SUMIFS('Invoice Ledger'!I:I,'Invoice Ledger'!B:B,A33)</f>
        <v/>
      </c>
      <c r="C33">
        <f>COUNTIFS('Invoice Ledger'!B:B,A33,'Invoice Ledger'!I:I,"&gt;0")</f>
        <v/>
      </c>
    </row>
    <row r="34">
      <c r="A34" t="inlineStr">
        <is>
          <t>VMG</t>
        </is>
      </c>
      <c r="B34" s="4">
        <f>SUMIFS('Invoice Ledger'!I:I,'Invoice Ledger'!B:B,A34)</f>
        <v/>
      </c>
      <c r="C34">
        <f>COUNTIFS('Invoice Ledger'!B:B,A34,'Invoice Ledger'!I:I,"&gt;0")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38" customWidth="1" min="3" max="3"/>
    <col width="70" customWidth="1" min="4" max="4"/>
  </cols>
  <sheetData>
    <row r="1">
      <c r="A1" s="2" t="inlineStr">
        <is>
          <t>Item</t>
        </is>
      </c>
      <c r="B1" s="2" t="inlineStr">
        <is>
          <t>Amount</t>
        </is>
      </c>
      <c r="C1" s="2" t="inlineStr">
        <is>
          <t>Source</t>
        </is>
      </c>
      <c r="D1" s="2" t="inlineStr">
        <is>
          <t>Read</t>
        </is>
      </c>
    </row>
    <row r="2">
      <c r="A2" t="inlineStr">
        <is>
          <t>Hub annual billings YTD (fee less discount)</t>
        </is>
      </c>
      <c r="B2" s="4">
        <f>'Revenue YTD'!B15</f>
        <v/>
      </c>
      <c r="C2" t="inlineStr">
        <is>
          <t>Hub 2026 Rev Report, as of 2026-10-15</t>
        </is>
      </c>
      <c r="D2" t="inlineStr">
        <is>
          <t>Matches Hub total $982,428 only if every row is included</t>
        </is>
      </c>
    </row>
    <row r="3">
      <c r="A3" t="inlineStr">
        <is>
          <t>QuickBooks Sales by Customer YTD (accrual)</t>
        </is>
      </c>
      <c r="B3" s="4" t="n">
        <v>59100</v>
      </c>
      <c r="C3" t="inlineStr">
        <is>
          <t>QBO, 2026-01-01 to 2026-10-15</t>
        </is>
      </c>
      <c r="D3" t="inlineStr">
        <is>
          <t>One customer (PB South), June only</t>
        </is>
      </c>
    </row>
    <row r="4">
      <c r="A4" t="inlineStr">
        <is>
          <t>QuickBooks Sales by Customer YTD (cash)</t>
        </is>
      </c>
      <c r="B4" s="4" t="n">
        <v>59100</v>
      </c>
      <c r="C4" t="inlineStr">
        <is>
          <t>QBO, same period</t>
        </is>
      </c>
      <c r="D4" t="inlineStr">
        <is>
          <t>Identical to accrual: the connector report does not distinguish</t>
        </is>
      </c>
    </row>
    <row r="5">
      <c r="A5" t="inlineStr">
        <is>
          <t>QuickBooks open A/R at 2026-10-15</t>
        </is>
      </c>
      <c r="B5" s="4" t="n">
        <v>0</v>
      </c>
      <c r="C5" t="inlineStr">
        <is>
          <t>QBO A/R aging</t>
        </is>
      </c>
      <c r="D5" t="inlineStr">
        <is>
          <t>No open receivables recorded</t>
        </is>
      </c>
    </row>
    <row r="6">
      <c r="A6" t="inlineStr">
        <is>
          <t>QuickBooks invoices, last 180 days</t>
        </is>
      </c>
      <c r="B6" s="4" t="n">
        <v>0</v>
      </c>
      <c r="C6" t="inlineStr">
        <is>
          <t>QBO invoice list</t>
        </is>
      </c>
      <c r="D6" t="inlineStr">
        <is>
          <t>No invoices recorded</t>
        </is>
      </c>
    </row>
    <row r="7">
      <c r="A7" t="inlineStr">
        <is>
          <t>QuickBooks September 2026 total income</t>
        </is>
      </c>
      <c r="B7" s="4" t="n">
        <v>117500</v>
      </c>
      <c r="C7" t="inlineStr">
        <is>
          <t>QBO P&amp;L Sep</t>
        </is>
      </c>
      <c r="D7" t="inlineStr">
        <is>
          <t>Not tied to a customer (known issue #2)</t>
        </is>
      </c>
    </row>
    <row r="8">
      <c r="A8" t="inlineStr">
        <is>
          <t>Gap: Hub billings less QBO customer-tied sales</t>
        </is>
      </c>
      <c r="B8" s="4">
        <f>B2-B3</f>
        <v/>
      </c>
      <c r="C8" t="inlineStr">
        <is>
          <t>Computed</t>
        </is>
      </c>
      <c r="D8" t="inlineStr">
        <is>
          <t>Revenue is not being booked as customer invoices in QBO; Joel to confirm how it is booked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24" customWidth="1" min="3" max="3"/>
    <col width="14" customWidth="1" min="4" max="4"/>
    <col width="10" customWidth="1" min="5" max="5"/>
    <col width="16" customWidth="1" min="6" max="6"/>
    <col width="48" customWidth="1" min="7" max="7"/>
  </cols>
  <sheetData>
    <row r="1">
      <c r="A1" s="1" t="inlineStr">
        <is>
          <t>EPG September 2026: Budget vs Actual. BOOKS NOT CLOSED. Basis unconfirmed. Budget lines PROPOSED, not approved.</t>
        </is>
      </c>
    </row>
    <row r="2">
      <c r="A2" t="inlineStr">
        <is>
          <t>Favourable = income above budget, expense below budget. Over 10% is flagged.</t>
        </is>
      </c>
    </row>
    <row r="4">
      <c r="A4" s="2" t="inlineStr">
        <is>
          <t>Line</t>
        </is>
      </c>
      <c r="B4" s="2" t="inlineStr">
        <is>
          <t>Budget (proposed)</t>
        </is>
      </c>
      <c r="C4" s="2" t="inlineStr">
        <is>
          <t>Actual (QuickBooks, basis unconfirmed)</t>
        </is>
      </c>
      <c r="D4" s="2" t="inlineStr">
        <is>
          <t>Variance $</t>
        </is>
      </c>
      <c r="E4" s="2" t="inlineStr">
        <is>
          <t>Variance %</t>
        </is>
      </c>
      <c r="F4" s="2" t="inlineStr">
        <is>
          <t>Flag</t>
        </is>
      </c>
      <c r="G4" s="2" t="inlineStr">
        <is>
          <t>Note</t>
        </is>
      </c>
    </row>
    <row r="5">
      <c r="A5" t="inlineStr">
        <is>
          <t>Sales (income)</t>
        </is>
      </c>
      <c r="B5" s="6" t="n"/>
      <c r="C5" s="7" t="n">
        <v>117500</v>
      </c>
      <c r="D5" s="7">
        <f>IF(B5="","",C5-B5)</f>
        <v/>
      </c>
      <c r="E5" s="8">
        <f>IF(OR(B5="",B5=0),"",D5/B5)</f>
        <v/>
      </c>
      <c r="F5">
        <f>IF(B5="","No budget yet",IF(ABS(E5)&lt;=0.1,"Within 10%",IF(D5&gt;0,"Favourable","Unfavourable")))</f>
        <v/>
      </c>
      <c r="G5" t="inlineStr">
        <is>
          <t>Income not tied to a customer in QBO</t>
        </is>
      </c>
    </row>
    <row r="6">
      <c r="A6" t="inlineStr">
        <is>
          <t>Contract labor</t>
        </is>
      </c>
      <c r="B6" s="6" t="n"/>
      <c r="C6" s="7" t="n">
        <v>8000</v>
      </c>
      <c r="D6" s="7">
        <f>IF(B6="","",C6-B6)</f>
        <v/>
      </c>
      <c r="E6" s="8">
        <f>IF(OR(B6="",B6=0),"",D6/B6)</f>
        <v/>
      </c>
      <c r="F6">
        <f>IF(B6="","No budget yet",IF(ABS(E6)&lt;=0.1,"Within 10%",IF(D6&lt;0,"Favourable","Unfavourable")))</f>
        <v/>
      </c>
      <c r="G6" t="inlineStr"/>
    </row>
    <row r="7">
      <c r="A7" t="inlineStr">
        <is>
          <t>Insurance</t>
        </is>
      </c>
      <c r="B7" s="6" t="n"/>
      <c r="C7" s="7" t="n">
        <v>4232.44</v>
      </c>
      <c r="D7" s="7">
        <f>IF(B7="","",C7-B7)</f>
        <v/>
      </c>
      <c r="E7" s="8">
        <f>IF(OR(B7="",B7=0),"",D7/B7)</f>
        <v/>
      </c>
      <c r="F7">
        <f>IF(B7="","No budget yet",IF(ABS(E7)&lt;=0.1,"Within 10%",IF(D7&lt;0,"Favourable","Unfavourable")))</f>
        <v/>
      </c>
      <c r="G7" t="inlineStr"/>
    </row>
    <row r="8">
      <c r="A8" t="inlineStr">
        <is>
          <t>Payroll expenses</t>
        </is>
      </c>
      <c r="B8" s="6" t="n"/>
      <c r="C8" s="7" t="n">
        <v>2225.19</v>
      </c>
      <c r="D8" s="7">
        <f>IF(B8="","",C8-B8)</f>
        <v/>
      </c>
      <c r="E8" s="8">
        <f>IF(OR(B8="",B8=0),"",D8/B8)</f>
        <v/>
      </c>
      <c r="F8">
        <f>IF(B8="","No budget yet",IF(ABS(E8)&lt;=0.1,"Within 10%",IF(D8&lt;0,"Favourable","Unfavourable")))</f>
        <v/>
      </c>
      <c r="G8" t="inlineStr">
        <is>
          <t>Payroll per QBO; Gusto totals not reconciled</t>
        </is>
      </c>
    </row>
    <row r="9">
      <c r="A9" t="inlineStr">
        <is>
          <t>Rent</t>
        </is>
      </c>
      <c r="B9" s="6" t="n"/>
      <c r="C9" s="7" t="n">
        <v>1004.95</v>
      </c>
      <c r="D9" s="7">
        <f>IF(B9="","",C9-B9)</f>
        <v/>
      </c>
      <c r="E9" s="8">
        <f>IF(OR(B9="",B9=0),"",D9/B9)</f>
        <v/>
      </c>
      <c r="F9">
        <f>IF(B9="","No budget yet",IF(ABS(E9)&lt;=0.1,"Within 10%",IF(D9&lt;0,"Favourable","Unfavourable")))</f>
        <v/>
      </c>
      <c r="G9" t="inlineStr"/>
    </row>
    <row r="10">
      <c r="A10" t="inlineStr">
        <is>
          <t>Memberships &amp; subscriptions</t>
        </is>
      </c>
      <c r="B10" s="6" t="n"/>
      <c r="C10" s="7" t="n">
        <v>1150</v>
      </c>
      <c r="D10" s="7">
        <f>IF(B10="","",C10-B10)</f>
        <v/>
      </c>
      <c r="E10" s="8">
        <f>IF(OR(B10="",B10=0),"",D10/B10)</f>
        <v/>
      </c>
      <c r="F10">
        <f>IF(B10="","No budget yet",IF(ABS(E10)&lt;=0.1,"Within 10%",IF(D10&lt;0,"Favourable","Unfavourable")))</f>
        <v/>
      </c>
      <c r="G10" t="inlineStr"/>
    </row>
    <row r="11">
      <c r="A11" t="inlineStr">
        <is>
          <t>Office expenses</t>
        </is>
      </c>
      <c r="B11" s="6" t="n"/>
      <c r="C11" s="7" t="n">
        <v>440.38</v>
      </c>
      <c r="D11" s="7">
        <f>IF(B11="","",C11-B11)</f>
        <v/>
      </c>
      <c r="E11" s="8">
        <f>IF(OR(B11="",B11=0),"",D11/B11)</f>
        <v/>
      </c>
      <c r="F11">
        <f>IF(B11="","No budget yet",IF(ABS(E11)&lt;=0.1,"Within 10%",IF(D11&lt;0,"Favourable","Unfavourable")))</f>
        <v/>
      </c>
      <c r="G11" t="inlineStr"/>
    </row>
    <row r="12">
      <c r="A12" t="inlineStr">
        <is>
          <t>Team building</t>
        </is>
      </c>
      <c r="B12" s="6" t="n"/>
      <c r="C12" s="7" t="n">
        <v>387.76</v>
      </c>
      <c r="D12" s="7">
        <f>IF(B12="","",C12-B12)</f>
        <v/>
      </c>
      <c r="E12" s="8">
        <f>IF(OR(B12="",B12=0),"",D12/B12)</f>
        <v/>
      </c>
      <c r="F12">
        <f>IF(B12="","No budget yet",IF(ABS(E12)&lt;=0.1,"Within 10%",IF(D12&lt;0,"Favourable","Unfavourable")))</f>
        <v/>
      </c>
      <c r="G12" t="inlineStr"/>
    </row>
    <row r="13">
      <c r="A13" t="inlineStr">
        <is>
          <t>Business loan interest</t>
        </is>
      </c>
      <c r="B13" s="6" t="n"/>
      <c r="C13" s="7" t="n">
        <v>250</v>
      </c>
      <c r="D13" s="7">
        <f>IF(B13="","",C13-B13)</f>
        <v/>
      </c>
      <c r="E13" s="8">
        <f>IF(OR(B13="",B13=0),"",D13/B13)</f>
        <v/>
      </c>
      <c r="F13">
        <f>IF(B13="","No budget yet",IF(ABS(E13)&lt;=0.1,"Within 10%",IF(D13&lt;0,"Favourable","Unfavourable")))</f>
        <v/>
      </c>
      <c r="G13" t="inlineStr"/>
    </row>
    <row r="14">
      <c r="A14" t="inlineStr">
        <is>
          <t>Utilities</t>
        </is>
      </c>
      <c r="B14" s="6" t="n"/>
      <c r="C14" s="7" t="n">
        <v>88.59999999999999</v>
      </c>
      <c r="D14" s="7">
        <f>IF(B14="","",C14-B14)</f>
        <v/>
      </c>
      <c r="E14" s="8">
        <f>IF(OR(B14="",B14=0),"",D14/B14)</f>
        <v/>
      </c>
      <c r="F14">
        <f>IF(B14="","No budget yet",IF(ABS(E14)&lt;=0.1,"Within 10%",IF(D14&lt;0,"Favourable","Unfavourable")))</f>
        <v/>
      </c>
      <c r="G14" t="inlineStr"/>
    </row>
    <row r="15">
      <c r="A15" t="inlineStr">
        <is>
          <t>Meals and travel</t>
        </is>
      </c>
      <c r="B15" s="6" t="n"/>
      <c r="C15" s="7" t="n">
        <v>17.64</v>
      </c>
      <c r="D15" s="7">
        <f>IF(B15="","",C15-B15)</f>
        <v/>
      </c>
      <c r="E15" s="8">
        <f>IF(OR(B15="",B15=0),"",D15/B15)</f>
        <v/>
      </c>
      <c r="F15">
        <f>IF(B15="","No budget yet",IF(ABS(E15)&lt;=0.1,"Within 10%",IF(D15&lt;0,"Favourable","Unfavourable")))</f>
        <v/>
      </c>
      <c r="G15" t="inlineStr"/>
    </row>
    <row r="16">
      <c r="A16" t="inlineStr">
        <is>
          <t>Professional development (other expense)</t>
        </is>
      </c>
      <c r="B16" s="6" t="n"/>
      <c r="C16" s="7" t="n">
        <v>1150</v>
      </c>
      <c r="D16" s="7">
        <f>IF(B16="","",C16-B16)</f>
        <v/>
      </c>
      <c r="E16" s="8">
        <f>IF(OR(B16="",B16=0),"",D16/B16)</f>
        <v/>
      </c>
      <c r="F16">
        <f>IF(B16="","No budget yet",IF(ABS(E16)&lt;=0.1,"Within 10%",IF(D16&lt;0,"Favourable","Unfavourable")))</f>
        <v/>
      </c>
      <c r="G16" t="inlineStr"/>
    </row>
    <row r="17">
      <c r="A17" s="1" t="inlineStr">
        <is>
          <t>Total expenses incl. other expense</t>
        </is>
      </c>
      <c r="C17" s="7">
        <f>SUM(C6:C16)</f>
        <v/>
      </c>
    </row>
    <row r="18">
      <c r="A18" s="1" t="inlineStr">
        <is>
          <t>Net income</t>
        </is>
      </c>
      <c r="C18" s="7">
        <f>C5-C17</f>
        <v/>
      </c>
    </row>
    <row r="19">
      <c r="A19" t="inlineStr">
        <is>
          <t>Check vs QuickBooks: operating expenses $17,796.96 + other expense $1,150.00 = $18,946.96; net income $98,553.04. Lines above tie to the summary.</t>
        </is>
      </c>
    </row>
    <row r="21">
      <c r="A21" s="2" t="inlineStr">
        <is>
          <t>Proposed monthly revenue budget (2026 ramp, from the Hub Annual Ramp Goal tab)</t>
        </is>
      </c>
      <c r="B21" s="2" t="inlineStr">
        <is>
          <t>Rev goal</t>
        </is>
      </c>
      <c r="C21" s="2" t="inlineStr">
        <is>
          <t>Hub billed by start month</t>
        </is>
      </c>
      <c r="D21" s="2" t="inlineStr">
        <is>
          <t>Variance $</t>
        </is>
      </c>
    </row>
    <row r="22">
      <c r="A22" t="inlineStr">
        <is>
          <t>Jan to May shown from the Hub tab; Jun to Dec to be filled when Kev and Chris confirm the ramp ($2,350,000 annual). PROPOSED.</t>
        </is>
      </c>
    </row>
    <row r="23">
      <c r="A23" t="inlineStr">
        <is>
          <t>2026-01</t>
        </is>
      </c>
      <c r="B23" s="9" t="n">
        <v>114286</v>
      </c>
      <c r="C23" s="4">
        <f>'Revenue YTD'!B2</f>
        <v/>
      </c>
      <c r="D23" s="4">
        <f>C23-B23</f>
        <v/>
      </c>
    </row>
    <row r="24">
      <c r="A24" t="inlineStr">
        <is>
          <t>2026-02</t>
        </is>
      </c>
      <c r="B24" s="9" t="n">
        <v>128571</v>
      </c>
      <c r="C24" s="4">
        <f>'Revenue YTD'!B3</f>
        <v/>
      </c>
      <c r="D24" s="4">
        <f>C24-B24</f>
        <v/>
      </c>
    </row>
    <row r="25">
      <c r="A25" t="inlineStr">
        <is>
          <t>2026-03</t>
        </is>
      </c>
      <c r="B25" s="9" t="n">
        <v>142857</v>
      </c>
      <c r="C25" s="4">
        <f>'Revenue YTD'!B4</f>
        <v/>
      </c>
      <c r="D25" s="4">
        <f>C25-B25</f>
        <v/>
      </c>
    </row>
    <row r="26">
      <c r="A26" t="inlineStr">
        <is>
          <t>2026-04</t>
        </is>
      </c>
      <c r="B26" s="9" t="n">
        <v>157143</v>
      </c>
      <c r="C26" s="4">
        <f>'Revenue YTD'!B5</f>
        <v/>
      </c>
      <c r="D26" s="4">
        <f>C26-B26</f>
        <v/>
      </c>
    </row>
    <row r="27">
      <c r="A27" t="inlineStr">
        <is>
          <t>2026-05</t>
        </is>
      </c>
      <c r="B27" s="9" t="n">
        <v>171429</v>
      </c>
      <c r="C27" s="4">
        <f>'Revenue YTD'!B6</f>
        <v/>
      </c>
      <c r="D27" s="4">
        <f>C27-B27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20" customWidth="1" min="2" max="2"/>
  </cols>
  <sheetData>
    <row r="1">
      <c r="A1" s="2" t="inlineStr">
        <is>
          <t>For</t>
        </is>
      </c>
      <c r="B1" s="2" t="inlineStr">
        <is>
          <t>Question</t>
        </is>
      </c>
    </row>
    <row r="2">
      <c r="A2" t="inlineStr">
        <is>
          <t>Joel</t>
        </is>
      </c>
      <c r="B2" t="inlineStr">
        <is>
          <t>How were 2026 sales booked in QuickBooks, since there are no invoices and no open A/R? Sales receipts, journal entries or deposits straight to Sales?</t>
        </is>
      </c>
    </row>
    <row r="3">
      <c r="A3" t="inlineStr">
        <is>
          <t>Joel</t>
        </is>
      </c>
      <c r="B3" t="inlineStr">
        <is>
          <t>Is the QuickBooks P&amp;L on accrual or cash? Please run the accrual P&amp;L for September and share the export.</t>
        </is>
      </c>
    </row>
    <row r="4">
      <c r="A4" t="inlineStr">
        <is>
          <t>Joel</t>
        </is>
      </c>
      <c r="B4" t="inlineStr">
        <is>
          <t>What ties the $117,500 of September income to customers?</t>
        </is>
      </c>
    </row>
    <row r="5">
      <c r="A5" t="inlineStr">
        <is>
          <t>Joel</t>
        </is>
      </c>
      <c r="B5" t="inlineStr">
        <is>
          <t>Send Chase deposits by month so the Paid column can be matched to each invoice.</t>
        </is>
      </c>
    </row>
    <row r="6">
      <c r="A6" t="inlineStr">
        <is>
          <t>Radar</t>
        </is>
      </c>
      <c r="B6" t="inlineStr">
        <is>
          <t>Invoice 62502 and 62053 (both $40,000, same client, role and start): two placements or one counted twice?</t>
        </is>
      </c>
    </row>
    <row r="7">
      <c r="A7" t="inlineStr">
        <is>
          <t>Radar</t>
        </is>
      </c>
      <c r="B7" t="inlineStr">
        <is>
          <t>Invoice 62026-A and 62026-B (two $15,000 lines, net 30 and net 90): split bill or double count?</t>
        </is>
      </c>
    </row>
    <row r="8">
      <c r="A8" t="inlineStr">
        <is>
          <t>Radar</t>
        </is>
      </c>
      <c r="B8" t="inlineStr">
        <is>
          <t>Jan to Feb outbox invoices (62021 to 62033) not found by subject; where were they sent from?</t>
        </is>
      </c>
    </row>
    <row r="9">
      <c r="A9" t="inlineStr">
        <is>
          <t>Kev</t>
        </is>
      </c>
      <c r="B9" t="inlineStr">
        <is>
          <t>Confirm the monthly revenue budget ramp and whether revenue should be recognised at start date (assumed here).</t>
        </is>
      </c>
    </row>
    <row r="10">
      <c r="A10" t="inlineStr">
        <is>
          <t>Radar</t>
        </is>
      </c>
      <c r="B10" t="inlineStr">
        <is>
          <t>Hub Annual Ramp Goal tab shows Q1 actual $403,903, but Rev Report rows by start month give $305,570 for Jan to Mar. Which is right?</t>
        </is>
      </c>
    </row>
    <row r="11">
      <c r="A11" t="inlineStr">
        <is>
          <t>Kev</t>
        </is>
      </c>
      <c r="B11" t="inlineStr">
        <is>
          <t>Add "Invoice sent" and "Paid" columns to the Hub Rev Report so payments can be matched automatically.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2026-10-16T02:48:37Z</dcterms:created>
  <dcterms:modified xmlns:dcterms="http://purl.org/dc/terms/" xmlns:xsi="http://www.w3.org/2001/XMLSchema-instance" xsi:type="dcterms:W3CDTF">2026-10-16T02:48:37Z</dcterms:modified>
</cp:coreProperties>
</file>